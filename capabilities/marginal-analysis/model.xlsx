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elkim/Documents/01 EDUCATION – SHIDLER DLeMBA/02-BUS 620-ECONOMICS /03 BUS 620 ECONOMICS ASSIGNMENTS /CASE 1 PERFECT COMPETITION /"/>
    </mc:Choice>
  </mc:AlternateContent>
  <xr:revisionPtr revIDLastSave="0" documentId="8_{822154F7-083E-684D-8C1D-2F12352D3E12}" xr6:coauthVersionLast="47" xr6:coauthVersionMax="47" xr10:uidLastSave="{00000000-0000-0000-0000-000000000000}"/>
  <bookViews>
    <workbookView xWindow="4880" yWindow="600" windowWidth="46320" windowHeight="28200" activeTab="4" xr2:uid="{00000000-000D-0000-FFFF-FFFF00000000}"/>
  </bookViews>
  <sheets>
    <sheet name="Inputs" sheetId="1" r:id="rId1"/>
    <sheet name="Marginal Analysis" sheetId="2" r:id="rId2"/>
    <sheet name="Farm Model" sheetId="3" r:id="rId3"/>
    <sheet name="Solver" sheetId="4" r:id="rId4"/>
    <sheet name="Audit" sheetId="5" r:id="rId5"/>
  </sheets>
  <definedNames>
    <definedName name="ACRES_PER_BED">Inputs!$B$6</definedName>
    <definedName name="CARROT_DIM_PCT">Inputs!$B$23</definedName>
    <definedName name="CARROT_FERTILIZER_PER_BED">Inputs!$B$22</definedName>
    <definedName name="CARROT_HRS_PER_BED">Inputs!$B$21</definedName>
    <definedName name="CARROT_MAX_BEDS">Inputs!$B$19</definedName>
    <definedName name="CARROT_PRICE">Inputs!$B$20</definedName>
    <definedName name="FARM_ACREAGE">Inputs!$B$5</definedName>
    <definedName name="FARMER_HRS_AVAILABLE">Inputs!$B$9</definedName>
    <definedName name="FARMER_LABOR_RATE">Inputs!$B$10</definedName>
    <definedName name="FIXED_COST">Inputs!$B$8</definedName>
    <definedName name="MAX_TEMP_WORKERS">Inputs!$B$13</definedName>
    <definedName name="MESCLUN_DIM_PCT">Inputs!$B$28</definedName>
    <definedName name="MESCLUN_FERTILIZER_PER_BED">Inputs!$B$27</definedName>
    <definedName name="MESCLUN_HRS_PER_BED">Inputs!$B$26</definedName>
    <definedName name="MESCLUN_MAX_BEDS">Inputs!$B$24</definedName>
    <definedName name="MESCLUN_PRICE">Inputs!$B$25</definedName>
    <definedName name="SEASON_WEEKS">Inputs!$B$4</definedName>
    <definedName name="solver_adj" localSheetId="3" hidden="1">Solver!$B$5:$B$7</definedName>
    <definedName name="solver_cvg" localSheetId="3" hidden="1">0.0001</definedName>
    <definedName name="solver_drv" localSheetId="3" hidden="1">1</definedName>
    <definedName name="solver_eng" localSheetId="3" hidden="1">1</definedName>
    <definedName name="solver_itr" localSheetId="3" hidden="1">2147483647</definedName>
    <definedName name="solver_lhs1" localSheetId="3" hidden="1">Solver!$B$16</definedName>
    <definedName name="solver_lhs2" localSheetId="3" hidden="1">Solver!$B$17</definedName>
    <definedName name="solver_lhs3" localSheetId="3" hidden="1">Solver!$B$18</definedName>
    <definedName name="solver_lhs4" localSheetId="3" hidden="1">Solver!$B$5</definedName>
    <definedName name="solver_lhs5" localSheetId="3" hidden="1">Solver!$B$5:$B$7</definedName>
    <definedName name="solver_lhs6" localSheetId="3" hidden="1">Solver!$B$6</definedName>
    <definedName name="solver_lhs7" localSheetId="3" hidden="1">Solver!$B$7</definedName>
    <definedName name="solver_lin" localSheetId="3" hidden="1">2</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7</definedName>
    <definedName name="solver_opt" localSheetId="3" hidden="1">Solver!$B$10</definedName>
    <definedName name="solver_pre" localSheetId="3" hidden="1">0.000001</definedName>
    <definedName name="solver_rbv" localSheetId="3" hidden="1">1</definedName>
    <definedName name="solver_rel1" localSheetId="3" hidden="1">1</definedName>
    <definedName name="solver_rel2" localSheetId="3" hidden="1">1</definedName>
    <definedName name="solver_rel3" localSheetId="3" hidden="1">1</definedName>
    <definedName name="solver_rel4" localSheetId="3" hidden="1">1</definedName>
    <definedName name="solver_rel5" localSheetId="3" hidden="1">4</definedName>
    <definedName name="solver_rel6" localSheetId="3" hidden="1">1</definedName>
    <definedName name="solver_rel7" localSheetId="3" hidden="1">1</definedName>
    <definedName name="solver_rhs1" localSheetId="3" hidden="1">64</definedName>
    <definedName name="solver_rhs2" localSheetId="3" hidden="1">4</definedName>
    <definedName name="solver_rhs3" localSheetId="3" hidden="1">1.5</definedName>
    <definedName name="solver_rhs4" localSheetId="3" hidden="1">20</definedName>
    <definedName name="solver_rhs5" localSheetId="3" hidden="1">"integer"</definedName>
    <definedName name="solver_rhs6" localSheetId="3" hidden="1">20</definedName>
    <definedName name="solver_rhs7" localSheetId="3" hidden="1">30</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1</definedName>
    <definedName name="solver_val" localSheetId="3" hidden="1">0</definedName>
    <definedName name="solver_ver" localSheetId="3" hidden="1">2</definedName>
    <definedName name="TEMP_HRS_PER_WORKER">Inputs!$B$11</definedName>
    <definedName name="TEMP_LABOR_RATE">Inputs!$B$12</definedName>
    <definedName name="TOMATO_DIM_PCT">Inputs!$B$18</definedName>
    <definedName name="TOMATO_FERTILIZER_PER_BED">Inputs!$B$17</definedName>
    <definedName name="TOMATO_HRS_PER_BED">Inputs!$B$16</definedName>
    <definedName name="TOMATO_MAX_BEDS">Inputs!$B$14</definedName>
    <definedName name="TOMATO_PRICE">Inputs!$B$15</definedName>
    <definedName name="TOTAL_BED_CAPACITY">Inputs!$B$7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B10" i="1"/>
  <c r="B21" i="1"/>
  <c r="C6" i="5"/>
  <c r="D6" i="5" s="1"/>
  <c r="B25" i="4"/>
  <c r="B24" i="4"/>
  <c r="B23" i="4"/>
  <c r="D18" i="4"/>
  <c r="D17" i="4"/>
  <c r="D16" i="4"/>
  <c r="D15" i="4"/>
  <c r="B15" i="4"/>
  <c r="E15" i="4" s="1"/>
  <c r="D14" i="4"/>
  <c r="B14" i="4"/>
  <c r="E14" i="4" s="1"/>
  <c r="D13" i="4"/>
  <c r="B13" i="4"/>
  <c r="E13" i="4" s="1"/>
  <c r="B21" i="3"/>
  <c r="D8" i="3"/>
  <c r="C8" i="3"/>
  <c r="B8" i="3"/>
  <c r="D7" i="3"/>
  <c r="C7" i="3"/>
  <c r="B7" i="3"/>
  <c r="D6" i="3"/>
  <c r="C6" i="3"/>
  <c r="B6" i="3"/>
  <c r="D5" i="3"/>
  <c r="C5" i="3"/>
  <c r="B5" i="3"/>
  <c r="G86" i="2"/>
  <c r="E86" i="2"/>
  <c r="D86" i="2"/>
  <c r="F86" i="2" s="1"/>
  <c r="H86" i="2" s="1"/>
  <c r="C86" i="2"/>
  <c r="B86" i="2"/>
  <c r="G85" i="2"/>
  <c r="C85" i="2"/>
  <c r="E85" i="2" s="1"/>
  <c r="B85" i="2"/>
  <c r="G84" i="2"/>
  <c r="E84" i="2"/>
  <c r="D84" i="2"/>
  <c r="F84" i="2" s="1"/>
  <c r="H84" i="2" s="1"/>
  <c r="K84" i="2" s="1"/>
  <c r="C84" i="2"/>
  <c r="B84" i="2"/>
  <c r="G83" i="2"/>
  <c r="C83" i="2"/>
  <c r="B83" i="2"/>
  <c r="G82" i="2"/>
  <c r="E82" i="2"/>
  <c r="D82" i="2"/>
  <c r="F82" i="2" s="1"/>
  <c r="H82" i="2" s="1"/>
  <c r="C82" i="2"/>
  <c r="B82" i="2"/>
  <c r="G81" i="2"/>
  <c r="D81" i="2"/>
  <c r="C81" i="2"/>
  <c r="E81" i="2" s="1"/>
  <c r="B81" i="2"/>
  <c r="G80" i="2"/>
  <c r="E80" i="2"/>
  <c r="D80" i="2"/>
  <c r="F80" i="2" s="1"/>
  <c r="H80" i="2" s="1"/>
  <c r="C80" i="2"/>
  <c r="B80" i="2"/>
  <c r="G79" i="2"/>
  <c r="C79" i="2"/>
  <c r="B79" i="2"/>
  <c r="G78" i="2"/>
  <c r="E78" i="2"/>
  <c r="D78" i="2"/>
  <c r="F78" i="2" s="1"/>
  <c r="H78" i="2" s="1"/>
  <c r="C78" i="2"/>
  <c r="B78" i="2"/>
  <c r="G77" i="2"/>
  <c r="C77" i="2"/>
  <c r="E77" i="2" s="1"/>
  <c r="B77" i="2"/>
  <c r="G76" i="2"/>
  <c r="E76" i="2"/>
  <c r="D76" i="2"/>
  <c r="F76" i="2" s="1"/>
  <c r="H76" i="2" s="1"/>
  <c r="C76" i="2"/>
  <c r="B76" i="2"/>
  <c r="G75" i="2"/>
  <c r="C75" i="2"/>
  <c r="B75" i="2"/>
  <c r="G74" i="2"/>
  <c r="E74" i="2"/>
  <c r="D74" i="2"/>
  <c r="F74" i="2" s="1"/>
  <c r="H74" i="2" s="1"/>
  <c r="C74" i="2"/>
  <c r="B74" i="2"/>
  <c r="G73" i="2"/>
  <c r="C73" i="2"/>
  <c r="E73" i="2" s="1"/>
  <c r="B73" i="2"/>
  <c r="G72" i="2"/>
  <c r="E72" i="2"/>
  <c r="D72" i="2"/>
  <c r="C72" i="2"/>
  <c r="B72" i="2"/>
  <c r="G71" i="2"/>
  <c r="C71" i="2"/>
  <c r="B71" i="2"/>
  <c r="G70" i="2"/>
  <c r="E70" i="2"/>
  <c r="D70" i="2"/>
  <c r="F70" i="2" s="1"/>
  <c r="H70" i="2" s="1"/>
  <c r="C70" i="2"/>
  <c r="B70" i="2"/>
  <c r="G69" i="2"/>
  <c r="C69" i="2"/>
  <c r="B69" i="2"/>
  <c r="G68" i="2"/>
  <c r="E68" i="2"/>
  <c r="D68" i="2"/>
  <c r="F68" i="2" s="1"/>
  <c r="H68" i="2" s="1"/>
  <c r="C68" i="2"/>
  <c r="B68" i="2"/>
  <c r="G67" i="2"/>
  <c r="C67" i="2"/>
  <c r="B67" i="2"/>
  <c r="G66" i="2"/>
  <c r="E66" i="2"/>
  <c r="D66" i="2"/>
  <c r="F66" i="2" s="1"/>
  <c r="H66" i="2" s="1"/>
  <c r="C66" i="2"/>
  <c r="B66" i="2"/>
  <c r="G65" i="2"/>
  <c r="C65" i="2"/>
  <c r="B65" i="2"/>
  <c r="G64" i="2"/>
  <c r="E64" i="2"/>
  <c r="D64" i="2"/>
  <c r="C64" i="2"/>
  <c r="B64" i="2"/>
  <c r="G63" i="2"/>
  <c r="C63" i="2"/>
  <c r="B63" i="2"/>
  <c r="G62" i="2"/>
  <c r="E62" i="2"/>
  <c r="D62" i="2"/>
  <c r="F62" i="2" s="1"/>
  <c r="H62" i="2" s="1"/>
  <c r="C62" i="2"/>
  <c r="B62" i="2"/>
  <c r="G61" i="2"/>
  <c r="C61" i="2"/>
  <c r="B61" i="2"/>
  <c r="G60" i="2"/>
  <c r="E60" i="2"/>
  <c r="D60" i="2"/>
  <c r="F60" i="2" s="1"/>
  <c r="H60" i="2" s="1"/>
  <c r="C60" i="2"/>
  <c r="B60" i="2"/>
  <c r="G59" i="2"/>
  <c r="C59" i="2"/>
  <c r="B59" i="2"/>
  <c r="G58" i="2"/>
  <c r="E58" i="2"/>
  <c r="D58" i="2"/>
  <c r="F58" i="2" s="1"/>
  <c r="H58" i="2" s="1"/>
  <c r="C58" i="2"/>
  <c r="B58" i="2"/>
  <c r="G57" i="2"/>
  <c r="C57" i="2"/>
  <c r="B57" i="2"/>
  <c r="G56" i="2"/>
  <c r="D56" i="2"/>
  <c r="F56" i="2" s="1"/>
  <c r="H56" i="2" s="1"/>
  <c r="K56" i="2" s="1"/>
  <c r="C56" i="2"/>
  <c r="E56" i="2" s="1"/>
  <c r="B56" i="2"/>
  <c r="G51" i="2"/>
  <c r="C51" i="2"/>
  <c r="B51" i="2"/>
  <c r="G50" i="2"/>
  <c r="C50" i="2"/>
  <c r="D50" i="2" s="1"/>
  <c r="B50" i="2"/>
  <c r="G49" i="2"/>
  <c r="C49" i="2"/>
  <c r="B49" i="2"/>
  <c r="G48" i="2"/>
  <c r="C48" i="2"/>
  <c r="D48" i="2" s="1"/>
  <c r="B48" i="2"/>
  <c r="G47" i="2"/>
  <c r="C47" i="2"/>
  <c r="B47" i="2"/>
  <c r="G46" i="2"/>
  <c r="C46" i="2"/>
  <c r="D46" i="2" s="1"/>
  <c r="B46" i="2"/>
  <c r="G45" i="2"/>
  <c r="C45" i="2"/>
  <c r="B45" i="2"/>
  <c r="G44" i="2"/>
  <c r="C44" i="2"/>
  <c r="D44" i="2" s="1"/>
  <c r="B44" i="2"/>
  <c r="G43" i="2"/>
  <c r="C43" i="2"/>
  <c r="B43" i="2"/>
  <c r="G42" i="2"/>
  <c r="C42" i="2"/>
  <c r="D42" i="2" s="1"/>
  <c r="B42" i="2"/>
  <c r="G41" i="2"/>
  <c r="C41" i="2"/>
  <c r="B41" i="2"/>
  <c r="G40" i="2"/>
  <c r="C40" i="2"/>
  <c r="D40" i="2" s="1"/>
  <c r="B40" i="2"/>
  <c r="G39" i="2"/>
  <c r="C39" i="2"/>
  <c r="B39" i="2"/>
  <c r="G38" i="2"/>
  <c r="C38" i="2"/>
  <c r="D38" i="2" s="1"/>
  <c r="B38" i="2"/>
  <c r="G37" i="2"/>
  <c r="C37" i="2"/>
  <c r="B37" i="2"/>
  <c r="G36" i="2"/>
  <c r="C36" i="2"/>
  <c r="D36" i="2" s="1"/>
  <c r="B36" i="2"/>
  <c r="G35" i="2"/>
  <c r="C35" i="2"/>
  <c r="B35" i="2"/>
  <c r="G34" i="2"/>
  <c r="C34" i="2"/>
  <c r="D34" i="2" s="1"/>
  <c r="B34" i="2"/>
  <c r="G33" i="2"/>
  <c r="C33" i="2"/>
  <c r="B33" i="2"/>
  <c r="G32" i="2"/>
  <c r="C32" i="2"/>
  <c r="D32" i="2" s="1"/>
  <c r="B32" i="2"/>
  <c r="G31" i="2"/>
  <c r="C31" i="2"/>
  <c r="D31" i="2" s="1"/>
  <c r="B31" i="2"/>
  <c r="G26" i="2"/>
  <c r="E26" i="2"/>
  <c r="F26" i="2" s="1"/>
  <c r="H26" i="2" s="1"/>
  <c r="D26" i="2"/>
  <c r="C26" i="2"/>
  <c r="B26" i="2"/>
  <c r="K26" i="2" s="1"/>
  <c r="G25" i="2"/>
  <c r="C25" i="2"/>
  <c r="B25" i="2"/>
  <c r="G24" i="2"/>
  <c r="E24" i="2"/>
  <c r="C24" i="2"/>
  <c r="D24" i="2" s="1"/>
  <c r="F24" i="2" s="1"/>
  <c r="H24" i="2" s="1"/>
  <c r="K24" i="2" s="1"/>
  <c r="B24" i="2"/>
  <c r="G23" i="2"/>
  <c r="C23" i="2"/>
  <c r="B23" i="2"/>
  <c r="G22" i="2"/>
  <c r="E22" i="2"/>
  <c r="F22" i="2" s="1"/>
  <c r="H22" i="2" s="1"/>
  <c r="D22" i="2"/>
  <c r="C22" i="2"/>
  <c r="B22" i="2"/>
  <c r="K22" i="2" s="1"/>
  <c r="G21" i="2"/>
  <c r="C21" i="2"/>
  <c r="B21" i="2"/>
  <c r="G20" i="2"/>
  <c r="E20" i="2"/>
  <c r="C20" i="2"/>
  <c r="D20" i="2" s="1"/>
  <c r="F20" i="2" s="1"/>
  <c r="H20" i="2" s="1"/>
  <c r="K20" i="2" s="1"/>
  <c r="B20" i="2"/>
  <c r="G19" i="2"/>
  <c r="C19" i="2"/>
  <c r="B19" i="2"/>
  <c r="G18" i="2"/>
  <c r="E18" i="2"/>
  <c r="F18" i="2" s="1"/>
  <c r="H18" i="2" s="1"/>
  <c r="D18" i="2"/>
  <c r="C18" i="2"/>
  <c r="B18" i="2"/>
  <c r="G17" i="2"/>
  <c r="C17" i="2"/>
  <c r="B17" i="2"/>
  <c r="G16" i="2"/>
  <c r="E16" i="2"/>
  <c r="C16" i="2"/>
  <c r="D16" i="2" s="1"/>
  <c r="F16" i="2" s="1"/>
  <c r="H16" i="2" s="1"/>
  <c r="K16" i="2" s="1"/>
  <c r="B16" i="2"/>
  <c r="G15" i="2"/>
  <c r="C15" i="2"/>
  <c r="B15" i="2"/>
  <c r="G14" i="2"/>
  <c r="E14" i="2"/>
  <c r="F14" i="2" s="1"/>
  <c r="H14" i="2" s="1"/>
  <c r="D14" i="2"/>
  <c r="C14" i="2"/>
  <c r="B14" i="2"/>
  <c r="G13" i="2"/>
  <c r="C13" i="2"/>
  <c r="B13" i="2"/>
  <c r="G12" i="2"/>
  <c r="E12" i="2"/>
  <c r="C12" i="2"/>
  <c r="D12" i="2" s="1"/>
  <c r="F12" i="2" s="1"/>
  <c r="H12" i="2" s="1"/>
  <c r="K12" i="2" s="1"/>
  <c r="B12" i="2"/>
  <c r="G11" i="2"/>
  <c r="C11" i="2"/>
  <c r="B11" i="2"/>
  <c r="G10" i="2"/>
  <c r="E10" i="2"/>
  <c r="F10" i="2" s="1"/>
  <c r="H10" i="2" s="1"/>
  <c r="D10" i="2"/>
  <c r="C10" i="2"/>
  <c r="B10" i="2"/>
  <c r="G9" i="2"/>
  <c r="C9" i="2"/>
  <c r="B9" i="2"/>
  <c r="G8" i="2"/>
  <c r="E8" i="2"/>
  <c r="C8" i="2"/>
  <c r="D8" i="2" s="1"/>
  <c r="B8" i="2"/>
  <c r="G7" i="2"/>
  <c r="C7" i="2"/>
  <c r="B7" i="2"/>
  <c r="G6" i="2"/>
  <c r="E6" i="2"/>
  <c r="D6" i="2"/>
  <c r="F6" i="2" s="1"/>
  <c r="H6" i="2" s="1"/>
  <c r="K6" i="2" s="1"/>
  <c r="C6" i="2"/>
  <c r="B6" i="2"/>
  <c r="K14" i="2" l="1"/>
  <c r="K62" i="2"/>
  <c r="K70" i="2"/>
  <c r="K76" i="2"/>
  <c r="K82" i="2"/>
  <c r="E42" i="2"/>
  <c r="E36" i="2"/>
  <c r="E40" i="2"/>
  <c r="F36" i="2"/>
  <c r="H36" i="2" s="1"/>
  <c r="E38" i="2"/>
  <c r="F38" i="2" s="1"/>
  <c r="H38" i="2" s="1"/>
  <c r="K38" i="2" s="1"/>
  <c r="E32" i="2"/>
  <c r="F32" i="2" s="1"/>
  <c r="H32" i="2" s="1"/>
  <c r="K32" i="2" s="1"/>
  <c r="E48" i="2"/>
  <c r="F48" i="2" s="1"/>
  <c r="H48" i="2" s="1"/>
  <c r="F50" i="2"/>
  <c r="H50" i="2" s="1"/>
  <c r="K50" i="2" s="1"/>
  <c r="E34" i="2"/>
  <c r="F34" i="2" s="1"/>
  <c r="H34" i="2" s="1"/>
  <c r="K34" i="2" s="1"/>
  <c r="E46" i="2"/>
  <c r="E50" i="2"/>
  <c r="F42" i="2"/>
  <c r="H42" i="2" s="1"/>
  <c r="E44" i="2"/>
  <c r="F44" i="2" s="1"/>
  <c r="H44" i="2" s="1"/>
  <c r="K44" i="2" s="1"/>
  <c r="E31" i="2"/>
  <c r="F31" i="2" s="1"/>
  <c r="H31" i="2" s="1"/>
  <c r="K31" i="2" s="1"/>
  <c r="K42" i="2"/>
  <c r="E7" i="3"/>
  <c r="E5" i="3"/>
  <c r="B24" i="3" s="1"/>
  <c r="E8" i="3"/>
  <c r="E37" i="2"/>
  <c r="D37" i="2"/>
  <c r="I12" i="2"/>
  <c r="E61" i="2"/>
  <c r="D61" i="2"/>
  <c r="F61" i="2" s="1"/>
  <c r="H61" i="2" s="1"/>
  <c r="E69" i="2"/>
  <c r="D69" i="2"/>
  <c r="F69" i="2" s="1"/>
  <c r="H69" i="2" s="1"/>
  <c r="E11" i="2"/>
  <c r="D11" i="2"/>
  <c r="F11" i="2" s="1"/>
  <c r="H11" i="2" s="1"/>
  <c r="E33" i="2"/>
  <c r="D33" i="2"/>
  <c r="E41" i="2"/>
  <c r="D41" i="2"/>
  <c r="E49" i="2"/>
  <c r="D49" i="2"/>
  <c r="F49" i="2" s="1"/>
  <c r="H49" i="2" s="1"/>
  <c r="K60" i="2"/>
  <c r="K68" i="2"/>
  <c r="K78" i="2"/>
  <c r="K18" i="2"/>
  <c r="E21" i="2"/>
  <c r="D21" i="2"/>
  <c r="F21" i="2" s="1"/>
  <c r="H21" i="2" s="1"/>
  <c r="K86" i="2"/>
  <c r="F8" i="2"/>
  <c r="H8" i="2" s="1"/>
  <c r="K10" i="2"/>
  <c r="E13" i="2"/>
  <c r="D13" i="2"/>
  <c r="F13" i="2" s="1"/>
  <c r="H13" i="2" s="1"/>
  <c r="I14" i="2" s="1"/>
  <c r="J14" i="2" s="1"/>
  <c r="E23" i="2"/>
  <c r="D23" i="2"/>
  <c r="F23" i="2" s="1"/>
  <c r="H23" i="2" s="1"/>
  <c r="I24" i="2" s="1"/>
  <c r="J24" i="2" s="1"/>
  <c r="F46" i="2"/>
  <c r="H46" i="2" s="1"/>
  <c r="E63" i="2"/>
  <c r="D63" i="2"/>
  <c r="F63" i="2" s="1"/>
  <c r="H63" i="2" s="1"/>
  <c r="E71" i="2"/>
  <c r="D71" i="2"/>
  <c r="F71" i="2" s="1"/>
  <c r="H71" i="2" s="1"/>
  <c r="K80" i="2"/>
  <c r="F81" i="2"/>
  <c r="H81" i="2" s="1"/>
  <c r="E83" i="2"/>
  <c r="D83" i="2"/>
  <c r="E25" i="2"/>
  <c r="D25" i="2"/>
  <c r="F25" i="2" s="1"/>
  <c r="H25" i="2" s="1"/>
  <c r="E35" i="2"/>
  <c r="D35" i="2"/>
  <c r="E43" i="2"/>
  <c r="D43" i="2"/>
  <c r="F43" i="2" s="1"/>
  <c r="H43" i="2" s="1"/>
  <c r="E51" i="2"/>
  <c r="D51" i="2"/>
  <c r="F51" i="2" s="1"/>
  <c r="H51" i="2" s="1"/>
  <c r="E15" i="2"/>
  <c r="D15" i="2"/>
  <c r="F40" i="2"/>
  <c r="H40" i="2" s="1"/>
  <c r="K40" i="2" s="1"/>
  <c r="E57" i="2"/>
  <c r="D57" i="2"/>
  <c r="F57" i="2" s="1"/>
  <c r="H57" i="2" s="1"/>
  <c r="E65" i="2"/>
  <c r="D65" i="2"/>
  <c r="B16" i="4"/>
  <c r="E16" i="4" s="1"/>
  <c r="E17" i="2"/>
  <c r="D17" i="2"/>
  <c r="F17" i="2" s="1"/>
  <c r="H17" i="2" s="1"/>
  <c r="E45" i="2"/>
  <c r="D45" i="2"/>
  <c r="E75" i="2"/>
  <c r="D75" i="2"/>
  <c r="F75" i="2" s="1"/>
  <c r="H75" i="2" s="1"/>
  <c r="C5" i="5"/>
  <c r="D5" i="5" s="1"/>
  <c r="E7" i="2"/>
  <c r="D7" i="2"/>
  <c r="K36" i="2"/>
  <c r="E59" i="2"/>
  <c r="D59" i="2"/>
  <c r="E67" i="2"/>
  <c r="D67" i="2"/>
  <c r="F67" i="2" s="1"/>
  <c r="H67" i="2" s="1"/>
  <c r="E9" i="2"/>
  <c r="D9" i="2"/>
  <c r="F9" i="2" s="1"/>
  <c r="H9" i="2" s="1"/>
  <c r="I10" i="2" s="1"/>
  <c r="J10" i="2" s="1"/>
  <c r="E19" i="2"/>
  <c r="D19" i="2"/>
  <c r="F19" i="2" s="1"/>
  <c r="H19" i="2" s="1"/>
  <c r="E39" i="2"/>
  <c r="D39" i="2"/>
  <c r="E47" i="2"/>
  <c r="D47" i="2"/>
  <c r="K58" i="2"/>
  <c r="F64" i="2"/>
  <c r="H64" i="2" s="1"/>
  <c r="K66" i="2"/>
  <c r="F72" i="2"/>
  <c r="H72" i="2" s="1"/>
  <c r="K72" i="2" s="1"/>
  <c r="K74" i="2"/>
  <c r="E79" i="2"/>
  <c r="D79" i="2"/>
  <c r="F79" i="2" s="1"/>
  <c r="H79" i="2" s="1"/>
  <c r="I80" i="2" s="1"/>
  <c r="J80" i="2" s="1"/>
  <c r="D73" i="2"/>
  <c r="F73" i="2" s="1"/>
  <c r="H73" i="2" s="1"/>
  <c r="D77" i="2"/>
  <c r="F77" i="2" s="1"/>
  <c r="H77" i="2" s="1"/>
  <c r="D85" i="2"/>
  <c r="F85" i="2" s="1"/>
  <c r="H85" i="2" s="1"/>
  <c r="E6" i="3"/>
  <c r="I64" i="2" l="1"/>
  <c r="J64" i="2" s="1"/>
  <c r="I50" i="2"/>
  <c r="J50" i="2" s="1"/>
  <c r="F33" i="2"/>
  <c r="H33" i="2" s="1"/>
  <c r="F37" i="2"/>
  <c r="H37" i="2" s="1"/>
  <c r="K37" i="2" s="1"/>
  <c r="I32" i="2"/>
  <c r="J32" i="2" s="1"/>
  <c r="F47" i="2"/>
  <c r="H47" i="2" s="1"/>
  <c r="K47" i="2" s="1"/>
  <c r="B18" i="4"/>
  <c r="E18" i="4" s="1"/>
  <c r="D23" i="4"/>
  <c r="D25" i="4"/>
  <c r="D24" i="4"/>
  <c r="I67" i="2"/>
  <c r="J67" i="2" s="1"/>
  <c r="K67" i="2"/>
  <c r="I61" i="2"/>
  <c r="J61" i="2" s="1"/>
  <c r="K61" i="2"/>
  <c r="I19" i="2"/>
  <c r="J19" i="2" s="1"/>
  <c r="K19" i="2"/>
  <c r="K81" i="2"/>
  <c r="I81" i="2"/>
  <c r="J81" i="2" s="1"/>
  <c r="K8" i="2"/>
  <c r="I33" i="2"/>
  <c r="J33" i="2" s="1"/>
  <c r="K33" i="2"/>
  <c r="I34" i="2"/>
  <c r="J34" i="2" s="1"/>
  <c r="I73" i="2"/>
  <c r="J73" i="2" s="1"/>
  <c r="K73" i="2"/>
  <c r="I9" i="2"/>
  <c r="J9" i="2" s="1"/>
  <c r="K9" i="2"/>
  <c r="I75" i="2"/>
  <c r="J75" i="2" s="1"/>
  <c r="K75" i="2"/>
  <c r="I76" i="2"/>
  <c r="J76" i="2" s="1"/>
  <c r="I71" i="2"/>
  <c r="J71" i="2" s="1"/>
  <c r="K71" i="2"/>
  <c r="B16" i="3"/>
  <c r="B17" i="3" s="1"/>
  <c r="B17" i="4" s="1"/>
  <c r="E17" i="4" s="1"/>
  <c r="B15" i="3"/>
  <c r="I43" i="2"/>
  <c r="J43" i="2" s="1"/>
  <c r="I44" i="2"/>
  <c r="J44" i="2" s="1"/>
  <c r="K43" i="2"/>
  <c r="K85" i="2"/>
  <c r="I85" i="2"/>
  <c r="J85" i="2" s="1"/>
  <c r="I72" i="2"/>
  <c r="J72" i="2" s="1"/>
  <c r="I17" i="2"/>
  <c r="J17" i="2" s="1"/>
  <c r="K17" i="2"/>
  <c r="K77" i="2"/>
  <c r="I77" i="2"/>
  <c r="J77" i="2" s="1"/>
  <c r="F59" i="2"/>
  <c r="H59" i="2" s="1"/>
  <c r="F65" i="2"/>
  <c r="H65" i="2" s="1"/>
  <c r="F15" i="2"/>
  <c r="H15" i="2" s="1"/>
  <c r="F35" i="2"/>
  <c r="H35" i="2" s="1"/>
  <c r="I38" i="2"/>
  <c r="J38" i="2" s="1"/>
  <c r="I86" i="2"/>
  <c r="J86" i="2" s="1"/>
  <c r="I74" i="2"/>
  <c r="J74" i="2" s="1"/>
  <c r="K46" i="2"/>
  <c r="I78" i="2"/>
  <c r="J78" i="2" s="1"/>
  <c r="I63" i="2"/>
  <c r="J63" i="2" s="1"/>
  <c r="K63" i="2"/>
  <c r="I21" i="2"/>
  <c r="J21" i="2" s="1"/>
  <c r="K21" i="2"/>
  <c r="I22" i="2"/>
  <c r="J22" i="2" s="1"/>
  <c r="I49" i="2"/>
  <c r="J49" i="2" s="1"/>
  <c r="K49" i="2"/>
  <c r="I62" i="2"/>
  <c r="J62" i="2" s="1"/>
  <c r="I11" i="2"/>
  <c r="J11" i="2" s="1"/>
  <c r="K11" i="2"/>
  <c r="C14" i="5"/>
  <c r="J12" i="2"/>
  <c r="I57" i="2"/>
  <c r="J57" i="2" s="1"/>
  <c r="K57" i="2"/>
  <c r="I58" i="2"/>
  <c r="J58" i="2" s="1"/>
  <c r="I25" i="2"/>
  <c r="J25" i="2" s="1"/>
  <c r="I26" i="2"/>
  <c r="J26" i="2" s="1"/>
  <c r="K25" i="2"/>
  <c r="I23" i="2"/>
  <c r="J23" i="2" s="1"/>
  <c r="K23" i="2"/>
  <c r="I79" i="2"/>
  <c r="J79" i="2" s="1"/>
  <c r="K79" i="2"/>
  <c r="I20" i="2"/>
  <c r="J20" i="2" s="1"/>
  <c r="K64" i="2"/>
  <c r="I51" i="2"/>
  <c r="J51" i="2" s="1"/>
  <c r="K51" i="2"/>
  <c r="I13" i="2"/>
  <c r="J13" i="2" s="1"/>
  <c r="K13" i="2"/>
  <c r="I69" i="2"/>
  <c r="J69" i="2" s="1"/>
  <c r="K69" i="2"/>
  <c r="I18" i="2"/>
  <c r="J18" i="2" s="1"/>
  <c r="F39" i="2"/>
  <c r="H39" i="2" s="1"/>
  <c r="I40" i="2" s="1"/>
  <c r="J40" i="2" s="1"/>
  <c r="I82" i="2"/>
  <c r="J82" i="2" s="1"/>
  <c r="F7" i="2"/>
  <c r="H7" i="2" s="1"/>
  <c r="I8" i="2" s="1"/>
  <c r="J8" i="2" s="1"/>
  <c r="F45" i="2"/>
  <c r="H45" i="2" s="1"/>
  <c r="I46" i="2" s="1"/>
  <c r="J46" i="2" s="1"/>
  <c r="F83" i="2"/>
  <c r="H83" i="2" s="1"/>
  <c r="K48" i="2"/>
  <c r="F41" i="2"/>
  <c r="H41" i="2" s="1"/>
  <c r="I68" i="2"/>
  <c r="J68" i="2" s="1"/>
  <c r="I70" i="2"/>
  <c r="J70" i="2" s="1"/>
  <c r="I48" i="2" l="1"/>
  <c r="J48" i="2" s="1"/>
  <c r="I37" i="2"/>
  <c r="J37" i="2" s="1"/>
  <c r="I47" i="2"/>
  <c r="J47" i="2" s="1"/>
  <c r="B18" i="3"/>
  <c r="I65" i="2"/>
  <c r="J65" i="2" s="1"/>
  <c r="K65" i="2"/>
  <c r="I66" i="2"/>
  <c r="J66" i="2" s="1"/>
  <c r="I59" i="2"/>
  <c r="J59" i="2" s="1"/>
  <c r="N55" i="2" s="1"/>
  <c r="N56" i="2" s="1"/>
  <c r="C10" i="5" s="1"/>
  <c r="D10" i="5" s="1"/>
  <c r="K59" i="2"/>
  <c r="I60" i="2"/>
  <c r="J60" i="2" s="1"/>
  <c r="I83" i="2"/>
  <c r="J83" i="2" s="1"/>
  <c r="K83" i="2"/>
  <c r="I84" i="2"/>
  <c r="J84" i="2" s="1"/>
  <c r="I7" i="2"/>
  <c r="J7" i="2" s="1"/>
  <c r="K7" i="2"/>
  <c r="I39" i="2"/>
  <c r="J39" i="2" s="1"/>
  <c r="K39" i="2"/>
  <c r="I41" i="2"/>
  <c r="J41" i="2" s="1"/>
  <c r="K41" i="2"/>
  <c r="I42" i="2"/>
  <c r="J42" i="2" s="1"/>
  <c r="I35" i="2"/>
  <c r="J35" i="2" s="1"/>
  <c r="K35" i="2"/>
  <c r="I36" i="2"/>
  <c r="J36" i="2" s="1"/>
  <c r="I45" i="2"/>
  <c r="J45" i="2" s="1"/>
  <c r="K45" i="2"/>
  <c r="I15" i="2"/>
  <c r="J15" i="2" s="1"/>
  <c r="K15" i="2"/>
  <c r="I16" i="2"/>
  <c r="J16" i="2" s="1"/>
  <c r="N30" i="2" l="1"/>
  <c r="N31" i="2" s="1"/>
  <c r="C9" i="5" s="1"/>
  <c r="D9" i="5" s="1"/>
  <c r="B20" i="3"/>
  <c r="B22" i="3" s="1"/>
  <c r="B23" i="3" s="1"/>
  <c r="B19" i="3"/>
  <c r="N5" i="2"/>
  <c r="N6" i="2" s="1"/>
  <c r="C8" i="5" s="1"/>
  <c r="D8" i="5" s="1"/>
  <c r="C9" i="3" l="1"/>
  <c r="C10" i="3" s="1"/>
  <c r="C11" i="3" s="1"/>
  <c r="B9" i="3"/>
  <c r="D9" i="3"/>
  <c r="D10" i="3" s="1"/>
  <c r="D11" i="3" s="1"/>
  <c r="C7" i="5"/>
  <c r="D7" i="5" s="1"/>
  <c r="B10" i="4"/>
  <c r="C24" i="4"/>
  <c r="E24" i="4" s="1"/>
  <c r="C25" i="4"/>
  <c r="E25" i="4" s="1"/>
  <c r="C23" i="4"/>
  <c r="E23" i="4" s="1"/>
  <c r="B10" i="3" l="1"/>
  <c r="E9" i="3"/>
  <c r="E10" i="3" l="1"/>
  <c r="B11" i="3"/>
  <c r="E11" i="3" s="1"/>
</calcChain>
</file>

<file path=xl/sharedStrings.xml><?xml version="1.0" encoding="utf-8"?>
<sst xmlns="http://schemas.openxmlformats.org/spreadsheetml/2006/main" count="298" uniqueCount="191">
  <si>
    <t>Perfect Competition — Model Inputs</t>
  </si>
  <si>
    <t>Name</t>
  </si>
  <si>
    <t>Value</t>
  </si>
  <si>
    <t>Unit</t>
  </si>
  <si>
    <t>Source</t>
  </si>
  <si>
    <t>Contract name</t>
  </si>
  <si>
    <t>Season weeks</t>
  </si>
  <si>
    <t>weeks</t>
  </si>
  <si>
    <t>Case instructions</t>
  </si>
  <si>
    <t>SEASON_WEEKS</t>
  </si>
  <si>
    <t>Farm acreage</t>
  </si>
  <si>
    <t>acres</t>
  </si>
  <si>
    <t>FARM_ACREAGE</t>
  </si>
  <si>
    <t>Acres Per Bed</t>
  </si>
  <si>
    <t>acres/bed</t>
  </si>
  <si>
    <t>Modeling assumption</t>
  </si>
  <si>
    <t>ACRES_PER_BED</t>
  </si>
  <si>
    <t>Total Bed Capacity</t>
  </si>
  <si>
    <t>beds</t>
  </si>
  <si>
    <t>TOTAL_BED_CAPACITY</t>
  </si>
  <si>
    <t>Fixed cost</t>
  </si>
  <si>
    <t>dollars/season</t>
  </si>
  <si>
    <t>FIXED_COST</t>
  </si>
  <si>
    <t>Farmer hours available</t>
  </si>
  <si>
    <t>hours/season</t>
  </si>
  <si>
    <t>FARMER_HRS_AVAILABLE</t>
  </si>
  <si>
    <t>Farmer Labor Rate</t>
  </si>
  <si>
    <t>dollars/hour</t>
  </si>
  <si>
    <t>FARMER_LABOR_RATE</t>
  </si>
  <si>
    <t>Temp Hours per Worker</t>
  </si>
  <si>
    <t>hours/worker</t>
  </si>
  <si>
    <t>TEMP_HRS_PER_WORKER</t>
  </si>
  <si>
    <t>Temp Labor Rate</t>
  </si>
  <si>
    <t>TEMP_LABOR_RATE</t>
  </si>
  <si>
    <t>Max Temp Workers</t>
  </si>
  <si>
    <t>workers</t>
  </si>
  <si>
    <t>MAX_TEMP_WORKERS</t>
  </si>
  <si>
    <t>Tomato Max Beds</t>
  </si>
  <si>
    <t>TOMATO_MAX_BEDS</t>
  </si>
  <si>
    <t>Tomato Price</t>
  </si>
  <si>
    <t>dollars/bed</t>
  </si>
  <si>
    <t>TOMATO_PRICE</t>
  </si>
  <si>
    <t>Tomato Labor</t>
  </si>
  <si>
    <t>hours/week/bed</t>
  </si>
  <si>
    <t>TOMATO_HRS_PER_BED</t>
  </si>
  <si>
    <t>Tomato Fertilizer</t>
  </si>
  <si>
    <t>TOMATO_FERTILIZER_PER_BED</t>
  </si>
  <si>
    <t>Tomato Diminishing Return</t>
  </si>
  <si>
    <t>percent/bed</t>
  </si>
  <si>
    <t>TOMATO_DIM_PCT</t>
  </si>
  <si>
    <t>Carrot Max Beds</t>
  </si>
  <si>
    <t>CARROT_MAX_BEDS</t>
  </si>
  <si>
    <t>Carrot Price</t>
  </si>
  <si>
    <t>CARROT_PRICE</t>
  </si>
  <si>
    <t>Carrot Labor</t>
  </si>
  <si>
    <t>CARROT_HRS_PER_BED</t>
  </si>
  <si>
    <t>Carrot Fertilizer</t>
  </si>
  <si>
    <t>CARROT_FERTILIZER_PER_BED</t>
  </si>
  <si>
    <t>Carrot Diminishing Return</t>
  </si>
  <si>
    <t>CARROT_DIM_PCT</t>
  </si>
  <si>
    <t>Mesclun Max Beds</t>
  </si>
  <si>
    <t>MESCLUN_MAX_BEDS</t>
  </si>
  <si>
    <t>Mesclun Price</t>
  </si>
  <si>
    <t>MESCLUN_PRICE</t>
  </si>
  <si>
    <t>Mesclun Labor</t>
  </si>
  <si>
    <t>MESCLUN_HRS_PER_BED</t>
  </si>
  <si>
    <t>Mesclun Fertilizer</t>
  </si>
  <si>
    <t>MESCLUN_FERTILIZER_PER_BED</t>
  </si>
  <si>
    <t>Mesclun Diminishing Return</t>
  </si>
  <si>
    <t>MESCLUN_DIM_PCT</t>
  </si>
  <si>
    <t>Blue font = hardcoded input. 0.02 acres/bed is retained as a modeling assumption; the case also limits total beds to 64.</t>
  </si>
  <si>
    <t>Standalone Marginal Analysis by Crop</t>
  </si>
  <si>
    <t>First P≈MC crossing is the first transition from nonnegative to negative marginal profit. Later nonmonotonic behavior is retained rather than hidden.</t>
  </si>
  <si>
    <t>Tomato — standalone schedule</t>
  </si>
  <si>
    <t>Standalone check</t>
  </si>
  <si>
    <t>Tomato</t>
  </si>
  <si>
    <t>Bed q</t>
  </si>
  <si>
    <t>Revenue ($)</t>
  </si>
  <si>
    <t>Labor Hrs</t>
  </si>
  <si>
    <t>Farmer Hrs</t>
  </si>
  <si>
    <t>Temp Hrs</t>
  </si>
  <si>
    <t>Labor Cost ($)</t>
  </si>
  <si>
    <t>Fertilizer ($)</t>
  </si>
  <si>
    <t>Variable Cost ($)</t>
  </si>
  <si>
    <t>Marginal Cost ($)</t>
  </si>
  <si>
    <t>Marginal Profit ($)</t>
  </si>
  <si>
    <t>Cumulative Contribution ($)</t>
  </si>
  <si>
    <t>First negative MP bed</t>
  </si>
  <si>
    <t>Approx. P≈MC bed</t>
  </si>
  <si>
    <t>Carrot — standalone schedule</t>
  </si>
  <si>
    <t>Carrot</t>
  </si>
  <si>
    <t>Mesclun — standalone schedule</t>
  </si>
  <si>
    <t>Mesclun</t>
  </si>
  <si>
    <t>Farm Model — Combined Crop Mix</t>
  </si>
  <si>
    <t>The three crop-bed decisions come from Solver. Labor is pooled farm-wide and crop labor cost is allocated at the blended farm-wide rate.</t>
  </si>
  <si>
    <t>Metric</t>
  </si>
  <si>
    <t>Total</t>
  </si>
  <si>
    <t>Beds</t>
  </si>
  <si>
    <t>Labor hours</t>
  </si>
  <si>
    <t>hours</t>
  </si>
  <si>
    <t>Revenue</t>
  </si>
  <si>
    <t>$</t>
  </si>
  <si>
    <t>Fertilizer cost</t>
  </si>
  <si>
    <t>Allocated labor cost</t>
  </si>
  <si>
    <t>Variable cost</t>
  </si>
  <si>
    <t>Contribution</t>
  </si>
  <si>
    <t>Farm-wide Labor and Profit</t>
  </si>
  <si>
    <t>Farmer hours used</t>
  </si>
  <si>
    <t>Temporary labor hours</t>
  </si>
  <si>
    <t>Temporary workers required</t>
  </si>
  <si>
    <t>Total labor cost</t>
  </si>
  <si>
    <t>Blended labor rate</t>
  </si>
  <si>
    <t>$/hour</t>
  </si>
  <si>
    <t>Total variable cost</t>
  </si>
  <si>
    <t>Total cost</t>
  </si>
  <si>
    <t>Season profit</t>
  </si>
  <si>
    <t>Land used</t>
  </si>
  <si>
    <t>Solver Setup — Optimize Season Profit</t>
  </si>
  <si>
    <t>Excel Solver settings: Objective = Season Profit (Max); Changing Cells = B5:B7; GRG Nonlinear; add B5:B7 = integer. Start with 0/0/0 for the first audit run.</t>
  </si>
  <si>
    <t>Decision variable</t>
  </si>
  <si>
    <t>Starting value</t>
  </si>
  <si>
    <t>Tomato beds</t>
  </si>
  <si>
    <t>TOMATO_BEDS</t>
  </si>
  <si>
    <t>Carrot beds</t>
  </si>
  <si>
    <t>CARROT_BEDS</t>
  </si>
  <si>
    <t>Mesclun beds</t>
  </si>
  <si>
    <t>MESCLUN_BEDS</t>
  </si>
  <si>
    <t>Objective</t>
  </si>
  <si>
    <t>Season Profit</t>
  </si>
  <si>
    <t>Constraint</t>
  </si>
  <si>
    <t>LHS</t>
  </si>
  <si>
    <t>Relation</t>
  </si>
  <si>
    <t>RHS</t>
  </si>
  <si>
    <t>Status</t>
  </si>
  <si>
    <t>Tomato max</t>
  </si>
  <si>
    <t>&lt;=</t>
  </si>
  <si>
    <t>Carrot max</t>
  </si>
  <si>
    <t>Mesclun max</t>
  </si>
  <si>
    <t>Total beds</t>
  </si>
  <si>
    <t>Temp workers</t>
  </si>
  <si>
    <t>Additional-Bed Diagnostics (farm-wide)</t>
  </si>
  <si>
    <t>Crop</t>
  </si>
  <si>
    <t>Profit if +1 bed</t>
  </si>
  <si>
    <t>Incremental profit</t>
  </si>
  <si>
    <t>Cap/space check</t>
  </si>
  <si>
    <t>Decision flag</t>
  </si>
  <si>
    <t>Note</t>
  </si>
  <si>
    <t>Evaluated against current crop mix</t>
  </si>
  <si>
    <t>The workbook intentionally opens at 0/0/0. Run Solver to generate the optimized mix; published results are validation targets, not hardcoded decision values.</t>
  </si>
  <si>
    <t>Audit — Validation Checks</t>
  </si>
  <si>
    <t>Solver starting-point tests and the Farm Profit Lab cross-check are intentionally left for the student's post-build audit.</t>
  </si>
  <si>
    <t>Check</t>
  </si>
  <si>
    <t>Expected</t>
  </si>
  <si>
    <t>Workbook result / entry</t>
  </si>
  <si>
    <t>Student finding</t>
  </si>
  <si>
    <t>Action if failed</t>
  </si>
  <si>
    <t>Tomato q=1 labor hours</t>
  </si>
  <si>
    <t>Fix spec/model if not 99</t>
  </si>
  <si>
    <t>Published optimal mix</t>
  </si>
  <si>
    <t>10 / 20 / 30</t>
  </si>
  <si>
    <t>Run Solver; investigate if different</t>
  </si>
  <si>
    <t>Published season profit</t>
  </si>
  <si>
    <t>Investigate meaningful difference</t>
  </si>
  <si>
    <t>Standalone P≈MC — Tomato</t>
  </si>
  <si>
    <t>Check first negative MP crossing</t>
  </si>
  <si>
    <t>Standalone P≈MC — Carrot</t>
  </si>
  <si>
    <t>Standalone P≈MC — Mesclun</t>
  </si>
  <si>
    <t>Solver start 0/0/0</t>
  </si>
  <si>
    <t>Run and record</t>
  </si>
  <si>
    <t>Record solution</t>
  </si>
  <si>
    <t>Solver start 20/0/0</t>
  </si>
  <si>
    <t>Intermediate MC vs Farm Profit Lab</t>
  </si>
  <si>
    <t>Compare one bed</t>
  </si>
  <si>
    <t>Record comparison</t>
  </si>
  <si>
    <t>Tomato MC dip around bed 6</t>
  </si>
  <si>
    <t>Observe dip</t>
  </si>
  <si>
    <t>OBSERVE</t>
  </si>
  <si>
    <t>Do not treat dip as formula error</t>
  </si>
  <si>
    <t>PASS</t>
  </si>
  <si>
    <t xml:space="preserve">The farm lab is displaying a whole dollar result but our model is more granular . It is uses the actual components to make the calculations that can be audited  </t>
  </si>
  <si>
    <t xml:space="preserve">More temp labor is used after the farmer reaches the 720 hours limit. Temp labor has a lower hourly rate so marginal labor cost falls even though total labor hours increase </t>
  </si>
  <si>
    <t>Ths is similar to the marginal analysis comparison. The lab reports rounded whole dollar results while our model keeps more precise input values which explains the small diffrence in seasonal profit.</t>
  </si>
  <si>
    <t xml:space="preserve">No Excel formula erros </t>
  </si>
  <si>
    <t>No error cells</t>
  </si>
  <si>
    <t xml:space="preserve">No error cells were found </t>
  </si>
  <si>
    <t>Calculated cells cotain formulas</t>
  </si>
  <si>
    <t xml:space="preserve">Formulas notpasted values </t>
  </si>
  <si>
    <t>Formulas verified</t>
  </si>
  <si>
    <t xml:space="preserve">Excel found no formula error cells which indicates that formulas noted in spec worked in model rather than producing error values </t>
  </si>
  <si>
    <t xml:space="preserve">The farm model results were based on calculations that can be audited and verified </t>
  </si>
  <si>
    <t>Tomatobed10:MP$551.41 vs Lab $551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</si>
</sst>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Red]\(#,##0.00\);\-"/>
    <numFmt numFmtId="165" formatCode="\$#,##0.00;[Red]\(\$#,##0.00\);\-"/>
  </numFmts>
  <fonts count="8">
    <font>
      <sz val="11"/>
      <name val="Carlito"/>
    </font>
    <font>
      <b/>
      <sz val="16"/>
      <color rgb="FFFFFFFF"/>
      <name val="Carlito"/>
    </font>
    <font>
      <b/>
      <sz val="11"/>
      <color rgb="FFFFFFFF"/>
      <name val="Carlito"/>
    </font>
    <font>
      <sz val="11"/>
      <color rgb="FF0000FF"/>
      <name val="Carlito"/>
    </font>
    <font>
      <i/>
      <sz val="11"/>
      <color rgb="FF666666"/>
      <name val="Carlito"/>
    </font>
    <font>
      <b/>
      <sz val="11"/>
      <name val="Carlito"/>
    </font>
    <font>
      <sz val="11"/>
      <color rgb="FF008000"/>
      <name val="Carlito"/>
    </font>
    <font>
      <b/>
      <sz val="11"/>
      <color rgb="FF008000"/>
      <name val="Carlito"/>
    </font>
  </fonts>
  <fills count="5">
    <fill>
      <patternFill patternType="none"/>
    </fill>
    <fill>
      <patternFill patternType="gray125"/>
    </fill>
    <fill>
      <patternFill patternType="solid">
        <fgColor rgb="FF1F4E78"/>
      </patternFill>
    </fill>
    <fill>
      <patternFill patternType="solid">
        <fgColor rgb="FF5B9BD5"/>
      </patternFill>
    </fill>
    <fill>
      <patternFill patternType="solid">
        <fgColor rgb="FFD9EAF7"/>
      </patternFill>
    </fill>
  </fills>
  <borders count="1">
    <border>
      <left/>
      <right/>
      <top/>
      <bottom/>
      <diagonal/>
    </border>
  </borders>
  <cellStyleXfs count="1">
    <xf numFmtId="0" fontId="0" fillId="0" borderId="0"/>
  </cellStyleXfs>
  <cellXfs count="25">
    <xf numFmtId="0" fontId="0" fillId="0" borderId="0" xfId="0"/>
    <xf numFmtId="0" fontId="2" fillId="3" borderId="0" xfId="0" applyFont="1" applyFill="1" applyAlignment="1">
      <alignment horizontal="center" vertical="center" wrapText="1"/>
    </xf>
    <xf numFmtId="0" fontId="0" fillId="0" borderId="0" xfId="0" applyAlignment="1">
      <alignment vertical="center" wrapText="1"/>
    </xf>
    <xf numFmtId="164" fontId="3" fillId="0" borderId="0" xfId="0" applyNumberFormat="1" applyFont="1" applyAlignment="1">
      <alignment vertical="center" wrapText="1"/>
    </xf>
    <xf numFmtId="165" fontId="3" fillId="0" borderId="0" xfId="0" applyNumberFormat="1" applyFont="1" applyAlignment="1">
      <alignment vertical="center" wrapText="1"/>
    </xf>
    <xf numFmtId="10" fontId="3" fillId="0" borderId="0" xfId="0" applyNumberFormat="1" applyFont="1" applyAlignment="1">
      <alignment vertical="center" wrapText="1"/>
    </xf>
    <xf numFmtId="165" fontId="2" fillId="3" borderId="0" xfId="0" applyNumberFormat="1" applyFont="1" applyFill="1" applyAlignment="1">
      <alignment horizontal="center" vertical="center" wrapText="1"/>
    </xf>
    <xf numFmtId="164" fontId="2" fillId="3" borderId="0" xfId="0" applyNumberFormat="1" applyFont="1" applyFill="1" applyAlignment="1">
      <alignment horizontal="center"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0" fontId="6" fillId="0" borderId="0" xfId="0" applyFont="1" applyAlignment="1">
      <alignment vertical="center" wrapText="1"/>
    </xf>
    <xf numFmtId="165" fontId="6" fillId="0" borderId="0" xfId="0" applyNumberFormat="1" applyFont="1" applyAlignment="1">
      <alignment vertical="center" wrapText="1"/>
    </xf>
    <xf numFmtId="164" fontId="6" fillId="0" borderId="0" xfId="0" applyNumberFormat="1" applyFont="1" applyAlignment="1">
      <alignment vertical="center" wrapText="1"/>
    </xf>
    <xf numFmtId="0" fontId="3" fillId="0" borderId="0" xfId="0" applyFont="1" applyAlignment="1">
      <alignment vertical="center" wrapText="1"/>
    </xf>
    <xf numFmtId="49" fontId="6" fillId="0" borderId="0" xfId="0" applyNumberFormat="1" applyFont="1" applyAlignment="1">
      <alignment vertical="center" wrapText="1"/>
    </xf>
    <xf numFmtId="0" fontId="1" fillId="2" borderId="0" xfId="0" applyFont="1" applyFill="1" applyAlignment="1">
      <alignment vertical="center" wrapText="1"/>
    </xf>
    <xf numFmtId="0" fontId="4" fillId="0" borderId="0" xfId="0" applyFont="1" applyAlignment="1">
      <alignment vertical="center" wrapText="1"/>
    </xf>
    <xf numFmtId="165" fontId="1" fillId="2" borderId="0" xfId="0" applyNumberFormat="1" applyFont="1" applyFill="1" applyAlignment="1">
      <alignment vertical="center" wrapText="1"/>
    </xf>
    <xf numFmtId="164" fontId="1" fillId="2" borderId="0" xfId="0" applyNumberFormat="1" applyFont="1" applyFill="1" applyAlignment="1">
      <alignment vertical="center" wrapText="1"/>
    </xf>
    <xf numFmtId="165" fontId="4" fillId="0" borderId="0" xfId="0" applyNumberFormat="1" applyFont="1" applyAlignment="1">
      <alignment vertical="center" wrapText="1"/>
    </xf>
    <xf numFmtId="164" fontId="4" fillId="0" borderId="0" xfId="0" applyNumberFormat="1" applyFont="1" applyAlignment="1">
      <alignment vertical="center" wrapText="1"/>
    </xf>
    <xf numFmtId="0" fontId="5" fillId="4" borderId="0" xfId="0" applyFont="1" applyFill="1" applyAlignment="1">
      <alignment vertical="center" wrapText="1"/>
    </xf>
    <xf numFmtId="165" fontId="5" fillId="4" borderId="0" xfId="0" applyNumberFormat="1" applyFont="1" applyFill="1" applyAlignment="1">
      <alignment vertical="center" wrapText="1"/>
    </xf>
    <xf numFmtId="164" fontId="5" fillId="4" borderId="0" xfId="0" applyNumberFormat="1" applyFont="1" applyFill="1" applyAlignment="1">
      <alignment vertical="center" wrapText="1"/>
    </xf>
    <xf numFmtId="0" fontId="7" fillId="4" borderId="0" xfId="0" applyFont="1" applyFill="1" applyAlignment="1">
      <alignment vertical="center" wrapText="1"/>
    </xf>
  </cellXfs>
  <cellStyles count="1">
    <cellStyle name="Normal" xfId="0" builtinId="0"/>
  </cellStyles>
  <dxfs count="5">
    <dxf>
      <font>
        <b/>
      </font>
      <fill>
        <patternFill patternType="solid">
          <bgColor rgb="FFD9EAD3"/>
        </patternFill>
      </fill>
    </dxf>
    <dxf>
      <font>
        <b/>
        <color rgb="FF9C0006"/>
      </font>
      <fill>
        <patternFill patternType="solid">
          <bgColor rgb="FFF4CCCC"/>
        </patternFill>
      </fill>
    </dxf>
    <dxf>
      <fill>
        <patternFill patternType="solid">
          <bgColor rgb="FFD9EAD3"/>
        </patternFill>
      </fill>
    </dxf>
    <dxf>
      <font>
        <b/>
      </font>
      <fill>
        <patternFill patternType="solid">
          <bgColor rgb="FFFFF2CC"/>
        </patternFill>
      </fill>
    </dxf>
    <dxf>
      <font>
        <b/>
        <color rgb="FF9C0006"/>
      </font>
      <fill>
        <patternFill patternType="solid">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
  <sheetViews>
    <sheetView workbookViewId="0">
      <selection activeCell="B13" sqref="B13"/>
    </sheetView>
  </sheetViews>
  <sheetFormatPr baseColWidth="10" defaultColWidth="8.83203125" defaultRowHeight="15"/>
  <cols>
    <col min="1" max="1" width="25" customWidth="1"/>
    <col min="2" max="2" width="16" customWidth="1"/>
    <col min="3" max="3" width="18" customWidth="1"/>
    <col min="4" max="4" width="22" customWidth="1"/>
    <col min="5" max="5" width="30" customWidth="1"/>
  </cols>
  <sheetData>
    <row r="1" spans="1:15" ht="21">
      <c r="A1" s="15" t="s">
        <v>0</v>
      </c>
      <c r="B1" s="15"/>
      <c r="C1" s="15"/>
      <c r="D1" s="15"/>
      <c r="E1" s="15"/>
      <c r="F1" s="2"/>
      <c r="G1" s="2"/>
      <c r="H1" s="2"/>
      <c r="I1" s="2"/>
      <c r="J1" s="2"/>
      <c r="K1" s="2"/>
      <c r="L1" s="2"/>
      <c r="M1" s="2"/>
      <c r="N1" s="2"/>
      <c r="O1" s="2"/>
    </row>
    <row r="2" spans="1:15">
      <c r="A2" s="2"/>
      <c r="B2" s="2"/>
      <c r="C2" s="2"/>
      <c r="D2" s="2"/>
      <c r="E2" s="2"/>
      <c r="F2" s="2"/>
      <c r="G2" s="2"/>
      <c r="H2" s="2"/>
      <c r="I2" s="2"/>
      <c r="J2" s="2"/>
      <c r="K2" s="2"/>
      <c r="L2" s="2"/>
      <c r="M2" s="2"/>
      <c r="N2" s="2"/>
      <c r="O2" s="2"/>
    </row>
    <row r="3" spans="1:15" ht="16">
      <c r="A3" s="1" t="s">
        <v>1</v>
      </c>
      <c r="B3" s="1" t="s">
        <v>2</v>
      </c>
      <c r="C3" s="1" t="s">
        <v>3</v>
      </c>
      <c r="D3" s="1" t="s">
        <v>4</v>
      </c>
      <c r="E3" s="1" t="s">
        <v>5</v>
      </c>
      <c r="F3" s="2"/>
      <c r="G3" s="2"/>
      <c r="H3" s="2"/>
      <c r="I3" s="2"/>
      <c r="J3" s="2"/>
      <c r="K3" s="2"/>
      <c r="L3" s="2"/>
      <c r="M3" s="2"/>
      <c r="N3" s="2"/>
      <c r="O3" s="2"/>
    </row>
    <row r="4" spans="1:15" ht="16">
      <c r="A4" s="2" t="s">
        <v>6</v>
      </c>
      <c r="B4" s="3">
        <v>36</v>
      </c>
      <c r="C4" s="2" t="s">
        <v>7</v>
      </c>
      <c r="D4" s="2" t="s">
        <v>8</v>
      </c>
      <c r="E4" s="2" t="s">
        <v>9</v>
      </c>
      <c r="F4" s="2"/>
      <c r="G4" s="2"/>
      <c r="H4" s="2"/>
      <c r="I4" s="2"/>
      <c r="J4" s="2"/>
      <c r="K4" s="2"/>
      <c r="L4" s="2"/>
      <c r="M4" s="2"/>
      <c r="N4" s="2"/>
      <c r="O4" s="2"/>
    </row>
    <row r="5" spans="1:15" ht="16">
      <c r="A5" s="2" t="s">
        <v>10</v>
      </c>
      <c r="B5" s="3">
        <v>1.5</v>
      </c>
      <c r="C5" s="2" t="s">
        <v>11</v>
      </c>
      <c r="D5" s="2" t="s">
        <v>8</v>
      </c>
      <c r="E5" s="2" t="s">
        <v>12</v>
      </c>
      <c r="F5" s="2"/>
      <c r="G5" s="2"/>
      <c r="H5" s="2"/>
      <c r="I5" s="2"/>
      <c r="J5" s="2"/>
      <c r="K5" s="2"/>
      <c r="L5" s="2"/>
      <c r="M5" s="2"/>
      <c r="N5" s="2"/>
      <c r="O5" s="2"/>
    </row>
    <row r="6" spans="1:15" ht="16">
      <c r="A6" s="2" t="s">
        <v>13</v>
      </c>
      <c r="B6" s="3">
        <v>0.02</v>
      </c>
      <c r="C6" s="2" t="s">
        <v>14</v>
      </c>
      <c r="D6" s="2" t="s">
        <v>15</v>
      </c>
      <c r="E6" s="2" t="s">
        <v>16</v>
      </c>
      <c r="F6" s="2"/>
      <c r="G6" s="2"/>
      <c r="H6" s="2"/>
      <c r="I6" s="2"/>
      <c r="J6" s="2"/>
      <c r="K6" s="2"/>
      <c r="L6" s="2"/>
      <c r="M6" s="2"/>
      <c r="N6" s="2"/>
      <c r="O6" s="2"/>
    </row>
    <row r="7" spans="1:15" ht="16">
      <c r="A7" s="2" t="s">
        <v>17</v>
      </c>
      <c r="B7" s="3">
        <v>64</v>
      </c>
      <c r="C7" s="2" t="s">
        <v>18</v>
      </c>
      <c r="D7" s="2" t="s">
        <v>8</v>
      </c>
      <c r="E7" s="2" t="s">
        <v>19</v>
      </c>
      <c r="F7" s="2"/>
      <c r="G7" s="2"/>
      <c r="H7" s="2"/>
      <c r="I7" s="2"/>
      <c r="J7" s="2"/>
      <c r="K7" s="2"/>
      <c r="L7" s="2"/>
      <c r="M7" s="2"/>
      <c r="N7" s="2"/>
      <c r="O7" s="2"/>
    </row>
    <row r="8" spans="1:15" ht="16">
      <c r="A8" s="2" t="s">
        <v>20</v>
      </c>
      <c r="B8" s="4">
        <v>20000</v>
      </c>
      <c r="C8" s="2" t="s">
        <v>21</v>
      </c>
      <c r="D8" s="2" t="s">
        <v>8</v>
      </c>
      <c r="E8" s="2" t="s">
        <v>22</v>
      </c>
      <c r="F8" s="2"/>
      <c r="G8" s="2"/>
      <c r="H8" s="2"/>
      <c r="I8" s="2"/>
      <c r="J8" s="2"/>
      <c r="K8" s="2"/>
      <c r="L8" s="2"/>
      <c r="M8" s="2"/>
      <c r="N8" s="2"/>
      <c r="O8" s="2"/>
    </row>
    <row r="9" spans="1:15" ht="16">
      <c r="A9" s="2" t="s">
        <v>23</v>
      </c>
      <c r="B9" s="3">
        <v>720</v>
      </c>
      <c r="C9" s="2" t="s">
        <v>24</v>
      </c>
      <c r="D9" s="2" t="s">
        <v>8</v>
      </c>
      <c r="E9" s="2" t="s">
        <v>25</v>
      </c>
      <c r="F9" s="2"/>
      <c r="G9" s="2"/>
      <c r="H9" s="2"/>
      <c r="I9" s="2"/>
      <c r="J9" s="2"/>
      <c r="K9" s="2"/>
      <c r="L9" s="2"/>
      <c r="M9" s="2"/>
      <c r="N9" s="2"/>
      <c r="O9" s="2"/>
    </row>
    <row r="10" spans="1:15" ht="16">
      <c r="A10" s="2" t="s">
        <v>26</v>
      </c>
      <c r="B10" s="4">
        <f>50000/1440</f>
        <v>34.722222222222221</v>
      </c>
      <c r="C10" s="2" t="s">
        <v>27</v>
      </c>
      <c r="D10" s="2" t="s">
        <v>8</v>
      </c>
      <c r="E10" s="2" t="s">
        <v>28</v>
      </c>
      <c r="F10" s="2"/>
      <c r="G10" s="2"/>
      <c r="H10" s="2"/>
      <c r="I10" s="2"/>
      <c r="J10" s="2"/>
      <c r="K10" s="2"/>
      <c r="L10" s="2"/>
      <c r="M10" s="2"/>
      <c r="N10" s="2"/>
      <c r="O10" s="2"/>
    </row>
    <row r="11" spans="1:15" ht="16">
      <c r="A11" s="2" t="s">
        <v>29</v>
      </c>
      <c r="B11" s="3">
        <v>1440</v>
      </c>
      <c r="C11" s="2" t="s">
        <v>30</v>
      </c>
      <c r="D11" s="2" t="s">
        <v>8</v>
      </c>
      <c r="E11" s="2" t="s">
        <v>31</v>
      </c>
      <c r="F11" s="2"/>
      <c r="G11" s="2"/>
      <c r="H11" s="2"/>
      <c r="I11" s="2"/>
      <c r="J11" s="2"/>
      <c r="K11" s="2"/>
      <c r="L11" s="2"/>
      <c r="M11" s="2"/>
      <c r="N11" s="2"/>
      <c r="O11" s="2"/>
    </row>
    <row r="12" spans="1:15" ht="16">
      <c r="A12" s="2" t="s">
        <v>32</v>
      </c>
      <c r="B12" s="4">
        <f>25000/1440</f>
        <v>17.361111111111111</v>
      </c>
      <c r="C12" s="2" t="s">
        <v>27</v>
      </c>
      <c r="D12" s="2" t="s">
        <v>8</v>
      </c>
      <c r="E12" s="2" t="s">
        <v>33</v>
      </c>
      <c r="F12" s="2"/>
      <c r="G12" s="2"/>
      <c r="H12" s="2"/>
      <c r="I12" s="2"/>
      <c r="J12" s="2"/>
      <c r="K12" s="2"/>
      <c r="L12" s="2"/>
      <c r="M12" s="2"/>
      <c r="N12" s="2"/>
      <c r="O12" s="2"/>
    </row>
    <row r="13" spans="1:15" ht="16">
      <c r="A13" s="2" t="s">
        <v>34</v>
      </c>
      <c r="B13" s="3">
        <v>4</v>
      </c>
      <c r="C13" s="2" t="s">
        <v>35</v>
      </c>
      <c r="D13" s="2" t="s">
        <v>8</v>
      </c>
      <c r="E13" s="2" t="s">
        <v>36</v>
      </c>
      <c r="F13" s="2"/>
      <c r="G13" s="2"/>
      <c r="H13" s="2"/>
      <c r="I13" s="2"/>
      <c r="J13" s="2"/>
      <c r="K13" s="2"/>
      <c r="L13" s="2"/>
      <c r="M13" s="2"/>
      <c r="N13" s="2"/>
      <c r="O13" s="2"/>
    </row>
    <row r="14" spans="1:15" ht="16">
      <c r="A14" s="2" t="s">
        <v>37</v>
      </c>
      <c r="B14" s="3">
        <v>20</v>
      </c>
      <c r="C14" s="2" t="s">
        <v>18</v>
      </c>
      <c r="D14" s="2" t="s">
        <v>8</v>
      </c>
      <c r="E14" s="2" t="s">
        <v>38</v>
      </c>
      <c r="F14" s="2"/>
      <c r="G14" s="2"/>
      <c r="H14" s="2"/>
      <c r="I14" s="2"/>
      <c r="J14" s="2"/>
      <c r="K14" s="2"/>
      <c r="L14" s="2"/>
      <c r="M14" s="2"/>
      <c r="N14" s="2"/>
      <c r="O14" s="2"/>
    </row>
    <row r="15" spans="1:15" ht="16">
      <c r="A15" s="2" t="s">
        <v>39</v>
      </c>
      <c r="B15" s="4">
        <v>8800</v>
      </c>
      <c r="C15" s="2" t="s">
        <v>40</v>
      </c>
      <c r="D15" s="2" t="s">
        <v>8</v>
      </c>
      <c r="E15" s="2" t="s">
        <v>41</v>
      </c>
      <c r="F15" s="2"/>
      <c r="G15" s="2"/>
      <c r="H15" s="2"/>
      <c r="I15" s="2"/>
      <c r="J15" s="2"/>
      <c r="K15" s="2"/>
      <c r="L15" s="2"/>
      <c r="M15" s="2"/>
      <c r="N15" s="2"/>
      <c r="O15" s="2"/>
    </row>
    <row r="16" spans="1:15" ht="16">
      <c r="A16" s="2" t="s">
        <v>42</v>
      </c>
      <c r="B16" s="3">
        <v>2.5</v>
      </c>
      <c r="C16" s="2" t="s">
        <v>43</v>
      </c>
      <c r="D16" s="2" t="s">
        <v>8</v>
      </c>
      <c r="E16" s="2" t="s">
        <v>44</v>
      </c>
      <c r="F16" s="2"/>
      <c r="G16" s="2"/>
      <c r="H16" s="2"/>
      <c r="I16" s="2"/>
      <c r="J16" s="2"/>
      <c r="K16" s="2"/>
      <c r="L16" s="2"/>
      <c r="M16" s="2"/>
      <c r="N16" s="2"/>
      <c r="O16" s="2"/>
    </row>
    <row r="17" spans="1:15" ht="32">
      <c r="A17" s="2" t="s">
        <v>45</v>
      </c>
      <c r="B17" s="4">
        <v>880</v>
      </c>
      <c r="C17" s="2" t="s">
        <v>40</v>
      </c>
      <c r="D17" s="2" t="s">
        <v>8</v>
      </c>
      <c r="E17" s="2" t="s">
        <v>46</v>
      </c>
      <c r="F17" s="2"/>
      <c r="G17" s="2"/>
      <c r="H17" s="2"/>
      <c r="I17" s="2"/>
      <c r="J17" s="2"/>
      <c r="K17" s="2"/>
      <c r="L17" s="2"/>
      <c r="M17" s="2"/>
      <c r="N17" s="2"/>
      <c r="O17" s="2"/>
    </row>
    <row r="18" spans="1:15" ht="16">
      <c r="A18" s="2" t="s">
        <v>47</v>
      </c>
      <c r="B18" s="5">
        <v>0.1</v>
      </c>
      <c r="C18" s="2" t="s">
        <v>48</v>
      </c>
      <c r="D18" s="2" t="s">
        <v>8</v>
      </c>
      <c r="E18" s="2" t="s">
        <v>49</v>
      </c>
      <c r="F18" s="2"/>
      <c r="G18" s="2"/>
      <c r="H18" s="2"/>
      <c r="I18" s="2"/>
      <c r="J18" s="2"/>
      <c r="K18" s="2"/>
      <c r="L18" s="2"/>
      <c r="M18" s="2"/>
      <c r="N18" s="2"/>
      <c r="O18" s="2"/>
    </row>
    <row r="19" spans="1:15" ht="16">
      <c r="A19" s="2" t="s">
        <v>50</v>
      </c>
      <c r="B19" s="3">
        <v>20</v>
      </c>
      <c r="C19" s="2" t="s">
        <v>18</v>
      </c>
      <c r="D19" s="2" t="s">
        <v>8</v>
      </c>
      <c r="E19" s="2" t="s">
        <v>51</v>
      </c>
      <c r="F19" s="2"/>
      <c r="G19" s="2"/>
      <c r="H19" s="2"/>
      <c r="I19" s="2"/>
      <c r="J19" s="2"/>
      <c r="K19" s="2"/>
      <c r="L19" s="2"/>
      <c r="M19" s="2"/>
      <c r="N19" s="2"/>
      <c r="O19" s="2"/>
    </row>
    <row r="20" spans="1:15" ht="16">
      <c r="A20" s="2" t="s">
        <v>52</v>
      </c>
      <c r="B20" s="4">
        <v>2094</v>
      </c>
      <c r="C20" s="2" t="s">
        <v>40</v>
      </c>
      <c r="D20" s="2" t="s">
        <v>8</v>
      </c>
      <c r="E20" s="2" t="s">
        <v>53</v>
      </c>
      <c r="F20" s="2"/>
      <c r="G20" s="2"/>
      <c r="H20" s="2"/>
      <c r="I20" s="2"/>
      <c r="J20" s="2"/>
      <c r="K20" s="2"/>
      <c r="L20" s="2"/>
      <c r="M20" s="2"/>
      <c r="N20" s="2"/>
      <c r="O20" s="2"/>
    </row>
    <row r="21" spans="1:15" ht="16">
      <c r="A21" s="2" t="s">
        <v>54</v>
      </c>
      <c r="B21" s="3">
        <f>2.5/3</f>
        <v>0.83333333333333337</v>
      </c>
      <c r="C21" s="2" t="s">
        <v>43</v>
      </c>
      <c r="D21" s="2" t="s">
        <v>8</v>
      </c>
      <c r="E21" s="2" t="s">
        <v>55</v>
      </c>
      <c r="F21" s="2"/>
      <c r="G21" s="2"/>
      <c r="H21" s="2"/>
      <c r="I21" s="2"/>
      <c r="J21" s="2"/>
      <c r="K21" s="2"/>
      <c r="L21" s="2"/>
      <c r="M21" s="2"/>
      <c r="N21" s="2"/>
      <c r="O21" s="2"/>
    </row>
    <row r="22" spans="1:15" ht="32">
      <c r="A22" s="2" t="s">
        <v>56</v>
      </c>
      <c r="B22" s="4">
        <v>440</v>
      </c>
      <c r="C22" s="2" t="s">
        <v>40</v>
      </c>
      <c r="D22" s="2" t="s">
        <v>8</v>
      </c>
      <c r="E22" s="2" t="s">
        <v>57</v>
      </c>
      <c r="F22" s="2"/>
      <c r="G22" s="2"/>
      <c r="H22" s="2"/>
      <c r="I22" s="2"/>
      <c r="J22" s="2"/>
      <c r="K22" s="2"/>
      <c r="L22" s="2"/>
      <c r="M22" s="2"/>
      <c r="N22" s="2"/>
      <c r="O22" s="2"/>
    </row>
    <row r="23" spans="1:15" ht="16">
      <c r="A23" s="2" t="s">
        <v>58</v>
      </c>
      <c r="B23" s="5">
        <v>2.5000000000000001E-2</v>
      </c>
      <c r="C23" s="2" t="s">
        <v>48</v>
      </c>
      <c r="D23" s="2" t="s">
        <v>8</v>
      </c>
      <c r="E23" s="2" t="s">
        <v>59</v>
      </c>
      <c r="F23" s="2"/>
      <c r="G23" s="2"/>
      <c r="H23" s="2"/>
      <c r="I23" s="2"/>
      <c r="J23" s="2"/>
      <c r="K23" s="2"/>
      <c r="L23" s="2"/>
      <c r="M23" s="2"/>
      <c r="N23" s="2"/>
      <c r="O23" s="2"/>
    </row>
    <row r="24" spans="1:15" ht="16">
      <c r="A24" s="2" t="s">
        <v>60</v>
      </c>
      <c r="B24" s="3">
        <v>30</v>
      </c>
      <c r="C24" s="2" t="s">
        <v>18</v>
      </c>
      <c r="D24" s="2" t="s">
        <v>8</v>
      </c>
      <c r="E24" s="2" t="s">
        <v>61</v>
      </c>
      <c r="F24" s="2"/>
      <c r="G24" s="2"/>
      <c r="H24" s="2"/>
      <c r="I24" s="2"/>
      <c r="J24" s="2"/>
      <c r="K24" s="2"/>
      <c r="L24" s="2"/>
      <c r="M24" s="2"/>
      <c r="N24" s="2"/>
      <c r="O24" s="2"/>
    </row>
    <row r="25" spans="1:15" ht="16">
      <c r="A25" s="2" t="s">
        <v>62</v>
      </c>
      <c r="B25" s="4">
        <v>2700</v>
      </c>
      <c r="C25" s="2" t="s">
        <v>40</v>
      </c>
      <c r="D25" s="2" t="s">
        <v>8</v>
      </c>
      <c r="E25" s="2" t="s">
        <v>63</v>
      </c>
      <c r="F25" s="2"/>
      <c r="G25" s="2"/>
      <c r="H25" s="2"/>
      <c r="I25" s="2"/>
      <c r="J25" s="2"/>
      <c r="K25" s="2"/>
      <c r="L25" s="2"/>
      <c r="M25" s="2"/>
      <c r="N25" s="2"/>
      <c r="O25" s="2"/>
    </row>
    <row r="26" spans="1:15" ht="16">
      <c r="A26" s="2" t="s">
        <v>64</v>
      </c>
      <c r="B26" s="3">
        <v>1.25</v>
      </c>
      <c r="C26" s="2" t="s">
        <v>43</v>
      </c>
      <c r="D26" s="2" t="s">
        <v>8</v>
      </c>
      <c r="E26" s="2" t="s">
        <v>65</v>
      </c>
      <c r="F26" s="2"/>
      <c r="G26" s="2"/>
      <c r="H26" s="2"/>
      <c r="I26" s="2"/>
      <c r="J26" s="2"/>
      <c r="K26" s="2"/>
      <c r="L26" s="2"/>
      <c r="M26" s="2"/>
      <c r="N26" s="2"/>
      <c r="O26" s="2"/>
    </row>
    <row r="27" spans="1:15" ht="32">
      <c r="A27" s="2" t="s">
        <v>66</v>
      </c>
      <c r="B27" s="4">
        <v>880</v>
      </c>
      <c r="C27" s="2" t="s">
        <v>40</v>
      </c>
      <c r="D27" s="2" t="s">
        <v>8</v>
      </c>
      <c r="E27" s="2" t="s">
        <v>67</v>
      </c>
      <c r="F27" s="2"/>
      <c r="G27" s="2"/>
      <c r="H27" s="2"/>
      <c r="I27" s="2"/>
      <c r="J27" s="2"/>
      <c r="K27" s="2"/>
      <c r="L27" s="2"/>
      <c r="M27" s="2"/>
      <c r="N27" s="2"/>
      <c r="O27" s="2"/>
    </row>
    <row r="28" spans="1:15" ht="16">
      <c r="A28" s="2" t="s">
        <v>68</v>
      </c>
      <c r="B28" s="5">
        <v>1.2500000000000001E-2</v>
      </c>
      <c r="C28" s="2" t="s">
        <v>48</v>
      </c>
      <c r="D28" s="2" t="s">
        <v>8</v>
      </c>
      <c r="E28" s="2" t="s">
        <v>69</v>
      </c>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16" t="s">
        <v>70</v>
      </c>
      <c r="B30" s="16"/>
      <c r="C30" s="16"/>
      <c r="D30" s="16"/>
      <c r="E30" s="16"/>
      <c r="F30" s="2"/>
      <c r="G30" s="2"/>
      <c r="H30" s="2"/>
      <c r="I30" s="2"/>
      <c r="J30" s="2"/>
      <c r="K30" s="2"/>
      <c r="L30" s="2"/>
      <c r="M30" s="2"/>
      <c r="N30" s="2"/>
      <c r="O30" s="2"/>
    </row>
    <row r="31" spans="1:15">
      <c r="A31" s="16"/>
      <c r="B31" s="16"/>
      <c r="C31" s="16"/>
      <c r="D31" s="16"/>
      <c r="E31" s="16"/>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2">
    <mergeCell ref="A1:E1"/>
    <mergeCell ref="A30:E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00"/>
  <sheetViews>
    <sheetView workbookViewId="0">
      <selection activeCell="I12" sqref="I12"/>
    </sheetView>
  </sheetViews>
  <sheetFormatPr baseColWidth="10" defaultColWidth="8.83203125" defaultRowHeight="15"/>
  <cols>
    <col min="1" max="1" width="10" customWidth="1"/>
    <col min="2" max="11" width="16" customWidth="1"/>
    <col min="13" max="14" width="20" customWidth="1"/>
  </cols>
  <sheetData>
    <row r="1" spans="1:15" ht="21">
      <c r="A1" s="15" t="s">
        <v>71</v>
      </c>
      <c r="B1" s="17"/>
      <c r="C1" s="18"/>
      <c r="D1" s="18"/>
      <c r="E1" s="18"/>
      <c r="F1" s="17"/>
      <c r="G1" s="17"/>
      <c r="H1" s="17"/>
      <c r="I1" s="17"/>
      <c r="J1" s="17"/>
      <c r="K1" s="17"/>
      <c r="L1" s="2"/>
      <c r="M1" s="2"/>
      <c r="N1" s="2"/>
      <c r="O1" s="2"/>
    </row>
    <row r="2" spans="1:15">
      <c r="A2" s="16" t="s">
        <v>72</v>
      </c>
      <c r="B2" s="19"/>
      <c r="C2" s="20"/>
      <c r="D2" s="20"/>
      <c r="E2" s="20"/>
      <c r="F2" s="19"/>
      <c r="G2" s="19"/>
      <c r="H2" s="19"/>
      <c r="I2" s="19"/>
      <c r="J2" s="19"/>
      <c r="K2" s="19"/>
      <c r="L2" s="2"/>
      <c r="M2" s="2"/>
      <c r="N2" s="2"/>
      <c r="O2" s="2"/>
    </row>
    <row r="3" spans="1:15">
      <c r="A3" s="2"/>
      <c r="B3" s="8"/>
      <c r="C3" s="9"/>
      <c r="D3" s="9"/>
      <c r="E3" s="9"/>
      <c r="F3" s="8"/>
      <c r="G3" s="8"/>
      <c r="H3" s="8"/>
      <c r="I3" s="8"/>
      <c r="J3" s="8"/>
      <c r="K3" s="8"/>
      <c r="L3" s="2"/>
      <c r="M3" s="2"/>
      <c r="N3" s="2"/>
      <c r="O3" s="2"/>
    </row>
    <row r="4" spans="1:15" ht="16">
      <c r="A4" s="21" t="s">
        <v>73</v>
      </c>
      <c r="B4" s="22"/>
      <c r="C4" s="23"/>
      <c r="D4" s="23"/>
      <c r="E4" s="23"/>
      <c r="F4" s="22"/>
      <c r="G4" s="22"/>
      <c r="H4" s="22"/>
      <c r="I4" s="22"/>
      <c r="J4" s="22"/>
      <c r="K4" s="22"/>
      <c r="L4" s="2"/>
      <c r="M4" s="2" t="s">
        <v>74</v>
      </c>
      <c r="N4" s="2" t="s">
        <v>75</v>
      </c>
      <c r="O4" s="2"/>
    </row>
    <row r="5" spans="1:15" ht="32">
      <c r="A5" s="1" t="s">
        <v>76</v>
      </c>
      <c r="B5" s="6" t="s">
        <v>77</v>
      </c>
      <c r="C5" s="7" t="s">
        <v>78</v>
      </c>
      <c r="D5" s="7" t="s">
        <v>79</v>
      </c>
      <c r="E5" s="7" t="s">
        <v>80</v>
      </c>
      <c r="F5" s="6" t="s">
        <v>81</v>
      </c>
      <c r="G5" s="6" t="s">
        <v>82</v>
      </c>
      <c r="H5" s="6" t="s">
        <v>83</v>
      </c>
      <c r="I5" s="6" t="s">
        <v>84</v>
      </c>
      <c r="J5" s="6" t="s">
        <v>85</v>
      </c>
      <c r="K5" s="6" t="s">
        <v>86</v>
      </c>
      <c r="L5" s="2"/>
      <c r="M5" s="2" t="s">
        <v>87</v>
      </c>
      <c r="N5" s="2">
        <f>IF(J7&lt;0,A7,IF(J8&lt;0,A8,IF(J9&lt;0,A9,IF(J10&lt;0,A10,IF(J11&lt;0,A11,IF(J12&lt;0,A12,IF(J13&lt;0,A13,IF(J14&lt;0,A14,IF(J15&lt;0,A15,IF(J16&lt;0,A16,IF(J17&lt;0,A17,IF(J18&lt;0,A18,IF(J19&lt;0,A19,IF(J20&lt;0,A20,IF(J21&lt;0,A21,IF(J22&lt;0,A22,IF(J23&lt;0,A23,IF(J24&lt;0,A24,IF(J25&lt;0,A25,IF(J26&lt;0,A26,20))))))))))))))))))))</f>
        <v>11</v>
      </c>
      <c r="O5" s="2"/>
    </row>
    <row r="6" spans="1:15" ht="16">
      <c r="A6" s="2">
        <v>0</v>
      </c>
      <c r="B6" s="8">
        <f>A6*Inputs!$B$15</f>
        <v>0</v>
      </c>
      <c r="C6" s="9">
        <f>A6*Inputs!$B$16*Inputs!$B$4*(1+Inputs!$B$18)^A6</f>
        <v>0</v>
      </c>
      <c r="D6" s="9">
        <f>MIN(C6,Inputs!$B$9)</f>
        <v>0</v>
      </c>
      <c r="E6" s="9">
        <f>MAX(C6-Inputs!$B$9,0)</f>
        <v>0</v>
      </c>
      <c r="F6" s="8">
        <f>D6*Inputs!$B$10+E6*Inputs!$B$12</f>
        <v>0</v>
      </c>
      <c r="G6" s="8">
        <f>A6*Inputs!$B$17</f>
        <v>0</v>
      </c>
      <c r="H6" s="8">
        <f t="shared" ref="H6:H26" si="0">F6+G6</f>
        <v>0</v>
      </c>
      <c r="I6" s="8"/>
      <c r="J6" s="8"/>
      <c r="K6" s="8">
        <f t="shared" ref="K6:K26" si="1">B6-H6</f>
        <v>0</v>
      </c>
      <c r="L6" s="2"/>
      <c r="M6" s="2" t="s">
        <v>88</v>
      </c>
      <c r="N6" s="2">
        <f>N5-1</f>
        <v>10</v>
      </c>
      <c r="O6" s="2"/>
    </row>
    <row r="7" spans="1:15">
      <c r="A7" s="2">
        <v>1</v>
      </c>
      <c r="B7" s="8">
        <f>A7*Inputs!$B$15</f>
        <v>8800</v>
      </c>
      <c r="C7" s="9">
        <f>A7*Inputs!$B$16*Inputs!$B$4*(1+Inputs!$B$18)^A7</f>
        <v>99.000000000000014</v>
      </c>
      <c r="D7" s="9">
        <f>MIN(C7,Inputs!$B$9)</f>
        <v>99.000000000000014</v>
      </c>
      <c r="E7" s="9">
        <f>MAX(C7-Inputs!$B$9,0)</f>
        <v>0</v>
      </c>
      <c r="F7" s="8">
        <f>D7*Inputs!$B$10+E7*Inputs!$B$12</f>
        <v>3437.5000000000005</v>
      </c>
      <c r="G7" s="8">
        <f>A7*Inputs!$B$17</f>
        <v>880</v>
      </c>
      <c r="H7" s="8">
        <f t="shared" si="0"/>
        <v>4317.5</v>
      </c>
      <c r="I7" s="8">
        <f t="shared" ref="I7:I26" si="2">H7-H6</f>
        <v>4317.5</v>
      </c>
      <c r="J7" s="8">
        <f>Inputs!$B$15-I7</f>
        <v>4482.5</v>
      </c>
      <c r="K7" s="8">
        <f t="shared" si="1"/>
        <v>4482.5</v>
      </c>
      <c r="L7" s="2"/>
      <c r="M7" s="2"/>
      <c r="N7" s="2"/>
      <c r="O7" s="2"/>
    </row>
    <row r="8" spans="1:15">
      <c r="A8" s="2">
        <v>2</v>
      </c>
      <c r="B8" s="8">
        <f>A8*Inputs!$B$15</f>
        <v>17600</v>
      </c>
      <c r="C8" s="9">
        <f>A8*Inputs!$B$16*Inputs!$B$4*(1+Inputs!$B$18)^A8</f>
        <v>217.80000000000004</v>
      </c>
      <c r="D8" s="9">
        <f>MIN(C8,Inputs!$B$9)</f>
        <v>217.80000000000004</v>
      </c>
      <c r="E8" s="9">
        <f>MAX(C8-Inputs!$B$9,0)</f>
        <v>0</v>
      </c>
      <c r="F8" s="8">
        <f>D8*Inputs!$B$10+E8*Inputs!$B$12</f>
        <v>7562.5000000000009</v>
      </c>
      <c r="G8" s="8">
        <f>A8*Inputs!$B$17</f>
        <v>1760</v>
      </c>
      <c r="H8" s="8">
        <f t="shared" si="0"/>
        <v>9322.5</v>
      </c>
      <c r="I8" s="8">
        <f t="shared" si="2"/>
        <v>5005</v>
      </c>
      <c r="J8" s="8">
        <f>Inputs!$B$15-I8</f>
        <v>3795</v>
      </c>
      <c r="K8" s="8">
        <f t="shared" si="1"/>
        <v>8277.5</v>
      </c>
      <c r="L8" s="2"/>
      <c r="M8" s="2"/>
      <c r="N8" s="2"/>
      <c r="O8" s="2"/>
    </row>
    <row r="9" spans="1:15">
      <c r="A9" s="2">
        <v>3</v>
      </c>
      <c r="B9" s="8">
        <f>A9*Inputs!$B$15</f>
        <v>26400</v>
      </c>
      <c r="C9" s="9">
        <f>A9*Inputs!$B$16*Inputs!$B$4*(1+Inputs!$B$18)^A9</f>
        <v>359.37000000000012</v>
      </c>
      <c r="D9" s="9">
        <f>MIN(C9,Inputs!$B$9)</f>
        <v>359.37000000000012</v>
      </c>
      <c r="E9" s="9">
        <f>MAX(C9-Inputs!$B$9,0)</f>
        <v>0</v>
      </c>
      <c r="F9" s="8">
        <f>D9*Inputs!$B$10+E9*Inputs!$B$12</f>
        <v>12478.125000000004</v>
      </c>
      <c r="G9" s="8">
        <f>A9*Inputs!$B$17</f>
        <v>2640</v>
      </c>
      <c r="H9" s="8">
        <f t="shared" si="0"/>
        <v>15118.125000000004</v>
      </c>
      <c r="I9" s="8">
        <f t="shared" si="2"/>
        <v>5795.6250000000036</v>
      </c>
      <c r="J9" s="8">
        <f>Inputs!$B$15-I9</f>
        <v>3004.3749999999964</v>
      </c>
      <c r="K9" s="8">
        <f t="shared" si="1"/>
        <v>11281.874999999996</v>
      </c>
      <c r="L9" s="2"/>
      <c r="M9" s="2"/>
      <c r="N9" s="2"/>
      <c r="O9" s="2"/>
    </row>
    <row r="10" spans="1:15">
      <c r="A10" s="2">
        <v>4</v>
      </c>
      <c r="B10" s="8">
        <f>A10*Inputs!$B$15</f>
        <v>35200</v>
      </c>
      <c r="C10" s="9">
        <f>A10*Inputs!$B$16*Inputs!$B$4*(1+Inputs!$B$18)^A10</f>
        <v>527.07600000000014</v>
      </c>
      <c r="D10" s="9">
        <f>MIN(C10,Inputs!$B$9)</f>
        <v>527.07600000000014</v>
      </c>
      <c r="E10" s="9">
        <f>MAX(C10-Inputs!$B$9,0)</f>
        <v>0</v>
      </c>
      <c r="F10" s="8">
        <f>D10*Inputs!$B$10+E10*Inputs!$B$12</f>
        <v>18301.250000000004</v>
      </c>
      <c r="G10" s="8">
        <f>A10*Inputs!$B$17</f>
        <v>3520</v>
      </c>
      <c r="H10" s="8">
        <f t="shared" si="0"/>
        <v>21821.250000000004</v>
      </c>
      <c r="I10" s="8">
        <f t="shared" si="2"/>
        <v>6703.125</v>
      </c>
      <c r="J10" s="8">
        <f>Inputs!$B$15-I10</f>
        <v>2096.875</v>
      </c>
      <c r="K10" s="8">
        <f t="shared" si="1"/>
        <v>13378.749999999996</v>
      </c>
      <c r="L10" s="2"/>
      <c r="M10" s="2"/>
      <c r="N10" s="2"/>
      <c r="O10" s="2"/>
    </row>
    <row r="11" spans="1:15">
      <c r="A11" s="2">
        <v>5</v>
      </c>
      <c r="B11" s="8">
        <f>A11*Inputs!$B$15</f>
        <v>44000</v>
      </c>
      <c r="C11" s="9">
        <f>A11*Inputs!$B$16*Inputs!$B$4*(1+Inputs!$B$18)^A11</f>
        <v>724.72950000000026</v>
      </c>
      <c r="D11" s="9">
        <f>MIN(C11,Inputs!$B$9)</f>
        <v>720</v>
      </c>
      <c r="E11" s="9">
        <f>MAX(C11-Inputs!$B$9,0)</f>
        <v>4.7295000000002574</v>
      </c>
      <c r="F11" s="8">
        <f>D11*Inputs!$B$10+E11*Inputs!$B$12</f>
        <v>25082.109375000004</v>
      </c>
      <c r="G11" s="8">
        <f>A11*Inputs!$B$17</f>
        <v>4400</v>
      </c>
      <c r="H11" s="8">
        <f t="shared" si="0"/>
        <v>29482.109375000004</v>
      </c>
      <c r="I11" s="8">
        <f t="shared" si="2"/>
        <v>7660.859375</v>
      </c>
      <c r="J11" s="8">
        <f>Inputs!$B$15-I11</f>
        <v>1139.140625</v>
      </c>
      <c r="K11" s="8">
        <f t="shared" si="1"/>
        <v>14517.890624999996</v>
      </c>
      <c r="L11" s="2"/>
      <c r="M11" s="2"/>
      <c r="N11" s="2"/>
      <c r="O11" s="2"/>
    </row>
    <row r="12" spans="1:15">
      <c r="A12" s="2">
        <v>6</v>
      </c>
      <c r="B12" s="8">
        <f>A12*Inputs!$B$15</f>
        <v>52800</v>
      </c>
      <c r="C12" s="9">
        <f>A12*Inputs!$B$16*Inputs!$B$4*(1+Inputs!$B$18)^A12</f>
        <v>956.64294000000041</v>
      </c>
      <c r="D12" s="9">
        <f>MIN(C12,Inputs!$B$9)</f>
        <v>720</v>
      </c>
      <c r="E12" s="9">
        <f>MAX(C12-Inputs!$B$9,0)</f>
        <v>236.64294000000041</v>
      </c>
      <c r="F12" s="8">
        <f>D12*Inputs!$B$10+E12*Inputs!$B$12</f>
        <v>29108.384375000009</v>
      </c>
      <c r="G12" s="8">
        <f>A12*Inputs!$B$17</f>
        <v>5280</v>
      </c>
      <c r="H12" s="8">
        <f t="shared" si="0"/>
        <v>34388.384375000009</v>
      </c>
      <c r="I12" s="8">
        <f t="shared" si="2"/>
        <v>4906.2750000000051</v>
      </c>
      <c r="J12" s="8">
        <f>Inputs!$B$15-I12</f>
        <v>3893.7249999999949</v>
      </c>
      <c r="K12" s="8">
        <f t="shared" si="1"/>
        <v>18411.615624999991</v>
      </c>
      <c r="L12" s="2"/>
      <c r="M12" s="2"/>
      <c r="N12" s="2"/>
      <c r="O12" s="2"/>
    </row>
    <row r="13" spans="1:15">
      <c r="A13" s="2">
        <v>7</v>
      </c>
      <c r="B13" s="8">
        <f>A13*Inputs!$B$15</f>
        <v>61600</v>
      </c>
      <c r="C13" s="9">
        <f>A13*Inputs!$B$16*Inputs!$B$4*(1+Inputs!$B$18)^A13</f>
        <v>1227.6917730000007</v>
      </c>
      <c r="D13" s="9">
        <f>MIN(C13,Inputs!$B$9)</f>
        <v>720</v>
      </c>
      <c r="E13" s="9">
        <f>MAX(C13-Inputs!$B$9,0)</f>
        <v>507.69177300000069</v>
      </c>
      <c r="F13" s="8">
        <f>D13*Inputs!$B$10+E13*Inputs!$B$12</f>
        <v>33814.09328125001</v>
      </c>
      <c r="G13" s="8">
        <f>A13*Inputs!$B$17</f>
        <v>6160</v>
      </c>
      <c r="H13" s="8">
        <f t="shared" si="0"/>
        <v>39974.09328125001</v>
      </c>
      <c r="I13" s="8">
        <f t="shared" si="2"/>
        <v>5585.7089062500017</v>
      </c>
      <c r="J13" s="8">
        <f>Inputs!$B$15-I13</f>
        <v>3214.2910937499983</v>
      </c>
      <c r="K13" s="8">
        <f t="shared" si="1"/>
        <v>21625.90671874999</v>
      </c>
      <c r="L13" s="2"/>
      <c r="M13" s="2"/>
      <c r="N13" s="2"/>
      <c r="O13" s="2"/>
    </row>
    <row r="14" spans="1:15">
      <c r="A14" s="2">
        <v>8</v>
      </c>
      <c r="B14" s="8">
        <f>A14*Inputs!$B$15</f>
        <v>70400</v>
      </c>
      <c r="C14" s="9">
        <f>A14*Inputs!$B$16*Inputs!$B$4*(1+Inputs!$B$18)^A14</f>
        <v>1543.3839432000009</v>
      </c>
      <c r="D14" s="9">
        <f>MIN(C14,Inputs!$B$9)</f>
        <v>720</v>
      </c>
      <c r="E14" s="9">
        <f>MAX(C14-Inputs!$B$9,0)</f>
        <v>823.38394320000089</v>
      </c>
      <c r="F14" s="8">
        <f>D14*Inputs!$B$10+E14*Inputs!$B$12</f>
        <v>39294.860125000014</v>
      </c>
      <c r="G14" s="8">
        <f>A14*Inputs!$B$17</f>
        <v>7040</v>
      </c>
      <c r="H14" s="8">
        <f t="shared" si="0"/>
        <v>46334.860125000014</v>
      </c>
      <c r="I14" s="8">
        <f t="shared" si="2"/>
        <v>6360.7668437500033</v>
      </c>
      <c r="J14" s="8">
        <f>Inputs!$B$15-I14</f>
        <v>2439.2331562499967</v>
      </c>
      <c r="K14" s="8">
        <f t="shared" si="1"/>
        <v>24065.139874999986</v>
      </c>
      <c r="L14" s="2"/>
      <c r="M14" s="2"/>
      <c r="N14" s="2"/>
      <c r="O14" s="2"/>
    </row>
    <row r="15" spans="1:15">
      <c r="A15" s="2">
        <v>9</v>
      </c>
      <c r="B15" s="8">
        <f>A15*Inputs!$B$15</f>
        <v>79200</v>
      </c>
      <c r="C15" s="9">
        <f>A15*Inputs!$B$16*Inputs!$B$4*(1+Inputs!$B$18)^A15</f>
        <v>1909.9376297100011</v>
      </c>
      <c r="D15" s="9">
        <f>MIN(C15,Inputs!$B$9)</f>
        <v>720</v>
      </c>
      <c r="E15" s="9">
        <f>MAX(C15-Inputs!$B$9,0)</f>
        <v>1189.9376297100011</v>
      </c>
      <c r="F15" s="8">
        <f>D15*Inputs!$B$10+E15*Inputs!$B$12</f>
        <v>45658.639404687521</v>
      </c>
      <c r="G15" s="8">
        <f>A15*Inputs!$B$17</f>
        <v>7920</v>
      </c>
      <c r="H15" s="8">
        <f t="shared" si="0"/>
        <v>53578.639404687521</v>
      </c>
      <c r="I15" s="8">
        <f t="shared" si="2"/>
        <v>7243.7792796875074</v>
      </c>
      <c r="J15" s="8">
        <f>Inputs!$B$15-I15</f>
        <v>1556.2207203124926</v>
      </c>
      <c r="K15" s="8">
        <f t="shared" si="1"/>
        <v>25621.360595312479</v>
      </c>
      <c r="L15" s="2"/>
      <c r="M15" s="2"/>
      <c r="N15" s="2"/>
      <c r="O15" s="2"/>
    </row>
    <row r="16" spans="1:15">
      <c r="A16" s="2">
        <v>10</v>
      </c>
      <c r="B16" s="8">
        <f>A16*Inputs!$B$15</f>
        <v>88000</v>
      </c>
      <c r="C16" s="9">
        <f>A16*Inputs!$B$16*Inputs!$B$4*(1+Inputs!$B$18)^A16</f>
        <v>2334.3682140900019</v>
      </c>
      <c r="D16" s="9">
        <f>MIN(C16,Inputs!$B$9)</f>
        <v>720</v>
      </c>
      <c r="E16" s="9">
        <f>MAX(C16-Inputs!$B$9,0)</f>
        <v>1614.3682140900019</v>
      </c>
      <c r="F16" s="8">
        <f>D16*Inputs!$B$10+E16*Inputs!$B$12</f>
        <v>53027.225939062533</v>
      </c>
      <c r="G16" s="8">
        <f>A16*Inputs!$B$17</f>
        <v>8800</v>
      </c>
      <c r="H16" s="8">
        <f t="shared" si="0"/>
        <v>61827.225939062533</v>
      </c>
      <c r="I16" s="8">
        <f t="shared" si="2"/>
        <v>8248.586534375012</v>
      </c>
      <c r="J16" s="8">
        <f>Inputs!$B$15-I16</f>
        <v>551.41346562498802</v>
      </c>
      <c r="K16" s="8">
        <f t="shared" si="1"/>
        <v>26172.774060937467</v>
      </c>
      <c r="L16" s="2"/>
      <c r="M16" s="2"/>
      <c r="N16" s="2"/>
      <c r="O16" s="2"/>
    </row>
    <row r="17" spans="1:15">
      <c r="A17" s="2">
        <v>11</v>
      </c>
      <c r="B17" s="8">
        <f>A17*Inputs!$B$15</f>
        <v>96800</v>
      </c>
      <c r="C17" s="9">
        <f>A17*Inputs!$B$16*Inputs!$B$4*(1+Inputs!$B$18)^A17</f>
        <v>2824.5855390489023</v>
      </c>
      <c r="D17" s="9">
        <f>MIN(C17,Inputs!$B$9)</f>
        <v>720</v>
      </c>
      <c r="E17" s="9">
        <f>MAX(C17-Inputs!$B$9,0)</f>
        <v>2104.5855390489023</v>
      </c>
      <c r="F17" s="8">
        <f>D17*Inputs!$B$10+E17*Inputs!$B$12</f>
        <v>61537.943386265666</v>
      </c>
      <c r="G17" s="8">
        <f>A17*Inputs!$B$17</f>
        <v>9680</v>
      </c>
      <c r="H17" s="8">
        <f t="shared" si="0"/>
        <v>71217.943386265659</v>
      </c>
      <c r="I17" s="8">
        <f t="shared" si="2"/>
        <v>9390.7174472031256</v>
      </c>
      <c r="J17" s="8">
        <f>Inputs!$B$15-I17</f>
        <v>-590.71744720312563</v>
      </c>
      <c r="K17" s="8">
        <f t="shared" si="1"/>
        <v>25582.056613734341</v>
      </c>
      <c r="L17" s="2"/>
      <c r="M17" s="2"/>
      <c r="N17" s="2"/>
      <c r="O17" s="2"/>
    </row>
    <row r="18" spans="1:15">
      <c r="A18" s="2">
        <v>12</v>
      </c>
      <c r="B18" s="8">
        <f>A18*Inputs!$B$15</f>
        <v>105600</v>
      </c>
      <c r="C18" s="9">
        <f>A18*Inputs!$B$16*Inputs!$B$4*(1+Inputs!$B$18)^A18</f>
        <v>3389.502646858683</v>
      </c>
      <c r="D18" s="9">
        <f>MIN(C18,Inputs!$B$9)</f>
        <v>720</v>
      </c>
      <c r="E18" s="9">
        <f>MAX(C18-Inputs!$B$9,0)</f>
        <v>2669.502646858683</v>
      </c>
      <c r="F18" s="8">
        <f>D18*Inputs!$B$10+E18*Inputs!$B$12</f>
        <v>71345.532063518796</v>
      </c>
      <c r="G18" s="8">
        <f>A18*Inputs!$B$17</f>
        <v>10560</v>
      </c>
      <c r="H18" s="8">
        <f t="shared" si="0"/>
        <v>81905.532063518796</v>
      </c>
      <c r="I18" s="8">
        <f t="shared" si="2"/>
        <v>10687.588677253138</v>
      </c>
      <c r="J18" s="8">
        <f>Inputs!$B$15-I18</f>
        <v>-1887.5886772531376</v>
      </c>
      <c r="K18" s="8">
        <f t="shared" si="1"/>
        <v>23694.467936481204</v>
      </c>
      <c r="L18" s="2"/>
      <c r="M18" s="2"/>
      <c r="N18" s="2"/>
      <c r="O18" s="2"/>
    </row>
    <row r="19" spans="1:15">
      <c r="A19" s="2">
        <v>13</v>
      </c>
      <c r="B19" s="8">
        <f>A19*Inputs!$B$15</f>
        <v>114400</v>
      </c>
      <c r="C19" s="9">
        <f>A19*Inputs!$B$16*Inputs!$B$4*(1+Inputs!$B$18)^A19</f>
        <v>4039.1573208399304</v>
      </c>
      <c r="D19" s="9">
        <f>MIN(C19,Inputs!$B$9)</f>
        <v>720</v>
      </c>
      <c r="E19" s="9">
        <f>MAX(C19-Inputs!$B$9,0)</f>
        <v>3319.1573208399304</v>
      </c>
      <c r="F19" s="8">
        <f>D19*Inputs!$B$10+E19*Inputs!$B$12</f>
        <v>82624.259042359903</v>
      </c>
      <c r="G19" s="8">
        <f>A19*Inputs!$B$17</f>
        <v>11440</v>
      </c>
      <c r="H19" s="8">
        <f t="shared" si="0"/>
        <v>94064.259042359903</v>
      </c>
      <c r="I19" s="8">
        <f t="shared" si="2"/>
        <v>12158.726978841107</v>
      </c>
      <c r="J19" s="8">
        <f>Inputs!$B$15-I19</f>
        <v>-3358.7269788411068</v>
      </c>
      <c r="K19" s="8">
        <f t="shared" si="1"/>
        <v>20335.740957640097</v>
      </c>
      <c r="L19" s="2"/>
      <c r="M19" s="2"/>
      <c r="N19" s="2"/>
      <c r="O19" s="2"/>
    </row>
    <row r="20" spans="1:15">
      <c r="A20" s="2">
        <v>14</v>
      </c>
      <c r="B20" s="8">
        <f>A20*Inputs!$B$15</f>
        <v>123200</v>
      </c>
      <c r="C20" s="9">
        <f>A20*Inputs!$B$16*Inputs!$B$4*(1+Inputs!$B$18)^A20</f>
        <v>4784.8479031488414</v>
      </c>
      <c r="D20" s="9">
        <f>MIN(C20,Inputs!$B$9)</f>
        <v>720</v>
      </c>
      <c r="E20" s="9">
        <f>MAX(C20-Inputs!$B$9,0)</f>
        <v>4064.8479031488414</v>
      </c>
      <c r="F20" s="8">
        <f>D20*Inputs!$B$10+E20*Inputs!$B$12</f>
        <v>95570.276096334055</v>
      </c>
      <c r="G20" s="8">
        <f>A20*Inputs!$B$17</f>
        <v>12320</v>
      </c>
      <c r="H20" s="8">
        <f t="shared" si="0"/>
        <v>107890.27609633406</v>
      </c>
      <c r="I20" s="8">
        <f t="shared" si="2"/>
        <v>13826.017053974152</v>
      </c>
      <c r="J20" s="8">
        <f>Inputs!$B$15-I20</f>
        <v>-5026.0170539741521</v>
      </c>
      <c r="K20" s="8">
        <f t="shared" si="1"/>
        <v>15309.723903665945</v>
      </c>
      <c r="L20" s="2"/>
      <c r="M20" s="2"/>
      <c r="N20" s="2"/>
      <c r="O20" s="2"/>
    </row>
    <row r="21" spans="1:15">
      <c r="A21" s="2">
        <v>15</v>
      </c>
      <c r="B21" s="8">
        <f>A21*Inputs!$B$15</f>
        <v>132000</v>
      </c>
      <c r="C21" s="9">
        <f>A21*Inputs!$B$16*Inputs!$B$4*(1+Inputs!$B$18)^A21</f>
        <v>5639.2850287111351</v>
      </c>
      <c r="D21" s="9">
        <f>MIN(C21,Inputs!$B$9)</f>
        <v>720</v>
      </c>
      <c r="E21" s="9">
        <f>MAX(C21-Inputs!$B$9,0)</f>
        <v>4919.2850287111351</v>
      </c>
      <c r="F21" s="8">
        <f>D21*Inputs!$B$10+E21*Inputs!$B$12</f>
        <v>110404.25397067942</v>
      </c>
      <c r="G21" s="8">
        <f>A21*Inputs!$B$17</f>
        <v>13200</v>
      </c>
      <c r="H21" s="8">
        <f t="shared" si="0"/>
        <v>123604.25397067942</v>
      </c>
      <c r="I21" s="8">
        <f t="shared" si="2"/>
        <v>15713.977874345364</v>
      </c>
      <c r="J21" s="8">
        <f>Inputs!$B$15-I21</f>
        <v>-6913.9778743453644</v>
      </c>
      <c r="K21" s="8">
        <f t="shared" si="1"/>
        <v>8395.7460293205804</v>
      </c>
      <c r="L21" s="2"/>
      <c r="M21" s="2"/>
      <c r="N21" s="2"/>
      <c r="O21" s="2"/>
    </row>
    <row r="22" spans="1:15">
      <c r="A22" s="2">
        <v>16</v>
      </c>
      <c r="B22" s="8">
        <f>A22*Inputs!$B$15</f>
        <v>140800</v>
      </c>
      <c r="C22" s="9">
        <f>A22*Inputs!$B$16*Inputs!$B$4*(1+Inputs!$B$18)^A22</f>
        <v>6616.761100354398</v>
      </c>
      <c r="D22" s="9">
        <f>MIN(C22,Inputs!$B$9)</f>
        <v>720</v>
      </c>
      <c r="E22" s="9">
        <f>MAX(C22-Inputs!$B$9,0)</f>
        <v>5896.761100354398</v>
      </c>
      <c r="F22" s="8">
        <f>D22*Inputs!$B$10+E22*Inputs!$B$12</f>
        <v>127374.32465893052</v>
      </c>
      <c r="G22" s="8">
        <f>A22*Inputs!$B$17</f>
        <v>14080</v>
      </c>
      <c r="H22" s="8">
        <f t="shared" si="0"/>
        <v>141454.32465893053</v>
      </c>
      <c r="I22" s="8">
        <f t="shared" si="2"/>
        <v>17850.070688251115</v>
      </c>
      <c r="J22" s="8">
        <f>Inputs!$B$15-I22</f>
        <v>-9050.0706882511149</v>
      </c>
      <c r="K22" s="8">
        <f t="shared" si="1"/>
        <v>-654.3246589305345</v>
      </c>
      <c r="L22" s="2"/>
      <c r="M22" s="2"/>
      <c r="N22" s="2"/>
      <c r="O22" s="2"/>
    </row>
    <row r="23" spans="1:15">
      <c r="A23" s="2">
        <v>17</v>
      </c>
      <c r="B23" s="8">
        <f>A23*Inputs!$B$15</f>
        <v>149600</v>
      </c>
      <c r="C23" s="9">
        <f>A23*Inputs!$B$16*Inputs!$B$4*(1+Inputs!$B$18)^A23</f>
        <v>7733.3395360392033</v>
      </c>
      <c r="D23" s="9">
        <f>MIN(C23,Inputs!$B$9)</f>
        <v>720</v>
      </c>
      <c r="E23" s="9">
        <f>MAX(C23-Inputs!$B$9,0)</f>
        <v>7013.3395360392033</v>
      </c>
      <c r="F23" s="8">
        <f>D23*Inputs!$B$10+E23*Inputs!$B$12</f>
        <v>146759.36694512505</v>
      </c>
      <c r="G23" s="8">
        <f>A23*Inputs!$B$17</f>
        <v>14960</v>
      </c>
      <c r="H23" s="8">
        <f t="shared" si="0"/>
        <v>161719.36694512505</v>
      </c>
      <c r="I23" s="8">
        <f t="shared" si="2"/>
        <v>20265.042286194512</v>
      </c>
      <c r="J23" s="8">
        <f>Inputs!$B$15-I23</f>
        <v>-11465.042286194512</v>
      </c>
      <c r="K23" s="8">
        <f t="shared" si="1"/>
        <v>-12119.366945125046</v>
      </c>
      <c r="L23" s="2"/>
      <c r="M23" s="2"/>
      <c r="N23" s="2"/>
      <c r="O23" s="2"/>
    </row>
    <row r="24" spans="1:15">
      <c r="A24" s="2">
        <v>18</v>
      </c>
      <c r="B24" s="8">
        <f>A24*Inputs!$B$15</f>
        <v>158400</v>
      </c>
      <c r="C24" s="9">
        <f>A24*Inputs!$B$16*Inputs!$B$4*(1+Inputs!$B$18)^A24</f>
        <v>9007.0660478574246</v>
      </c>
      <c r="D24" s="9">
        <f>MIN(C24,Inputs!$B$9)</f>
        <v>720</v>
      </c>
      <c r="E24" s="9">
        <f>MAX(C24-Inputs!$B$9,0)</f>
        <v>8287.0660478574246</v>
      </c>
      <c r="F24" s="8">
        <f>D24*Inputs!$B$10+E24*Inputs!$B$12</f>
        <v>168872.67444196917</v>
      </c>
      <c r="G24" s="8">
        <f>A24*Inputs!$B$17</f>
        <v>15840</v>
      </c>
      <c r="H24" s="8">
        <f t="shared" si="0"/>
        <v>184712.67444196917</v>
      </c>
      <c r="I24" s="8">
        <f t="shared" si="2"/>
        <v>22993.307496844121</v>
      </c>
      <c r="J24" s="8">
        <f>Inputs!$B$15-I24</f>
        <v>-14193.307496844121</v>
      </c>
      <c r="K24" s="8">
        <f t="shared" si="1"/>
        <v>-26312.674441969168</v>
      </c>
      <c r="L24" s="2"/>
      <c r="M24" s="2"/>
      <c r="N24" s="2"/>
      <c r="O24" s="2"/>
    </row>
    <row r="25" spans="1:15">
      <c r="A25" s="2">
        <v>19</v>
      </c>
      <c r="B25" s="8">
        <f>A25*Inputs!$B$15</f>
        <v>167200</v>
      </c>
      <c r="C25" s="9">
        <f>A25*Inputs!$B$16*Inputs!$B$4*(1+Inputs!$B$18)^A25</f>
        <v>10458.204466678902</v>
      </c>
      <c r="D25" s="9">
        <f>MIN(C25,Inputs!$B$9)</f>
        <v>720</v>
      </c>
      <c r="E25" s="9">
        <f>MAX(C25-Inputs!$B$9,0)</f>
        <v>9738.2044666789025</v>
      </c>
      <c r="F25" s="8">
        <f>D25*Inputs!$B$10+E25*Inputs!$B$12</f>
        <v>194066.04976873094</v>
      </c>
      <c r="G25" s="8">
        <f>A25*Inputs!$B$17</f>
        <v>16720</v>
      </c>
      <c r="H25" s="8">
        <f t="shared" si="0"/>
        <v>210786.04976873094</v>
      </c>
      <c r="I25" s="8">
        <f t="shared" si="2"/>
        <v>26073.375326761772</v>
      </c>
      <c r="J25" s="8">
        <f>Inputs!$B$15-I25</f>
        <v>-17273.375326761772</v>
      </c>
      <c r="K25" s="8">
        <f t="shared" si="1"/>
        <v>-43586.04976873094</v>
      </c>
      <c r="L25" s="2"/>
      <c r="M25" s="2"/>
      <c r="N25" s="2"/>
      <c r="O25" s="2"/>
    </row>
    <row r="26" spans="1:15">
      <c r="A26" s="2">
        <v>20</v>
      </c>
      <c r="B26" s="8">
        <f>A26*Inputs!$B$15</f>
        <v>176000</v>
      </c>
      <c r="C26" s="9">
        <f>A26*Inputs!$B$16*Inputs!$B$4*(1+Inputs!$B$18)^A26</f>
        <v>12109.499908786096</v>
      </c>
      <c r="D26" s="9">
        <f>MIN(C26,Inputs!$B$9)</f>
        <v>720</v>
      </c>
      <c r="E26" s="9">
        <f>MAX(C26-Inputs!$B$9,0)</f>
        <v>11389.499908786096</v>
      </c>
      <c r="F26" s="8">
        <f>D26*Inputs!$B$10+E26*Inputs!$B$12</f>
        <v>222734.37341642528</v>
      </c>
      <c r="G26" s="8">
        <f>A26*Inputs!$B$17</f>
        <v>17600</v>
      </c>
      <c r="H26" s="8">
        <f t="shared" si="0"/>
        <v>240334.37341642528</v>
      </c>
      <c r="I26" s="8">
        <f t="shared" si="2"/>
        <v>29548.323647694342</v>
      </c>
      <c r="J26" s="8">
        <f>Inputs!$B$15-I26</f>
        <v>-20748.323647694342</v>
      </c>
      <c r="K26" s="8">
        <f t="shared" si="1"/>
        <v>-64334.373416425282</v>
      </c>
      <c r="L26" s="2"/>
      <c r="M26" s="2"/>
      <c r="N26" s="2"/>
      <c r="O26" s="2"/>
    </row>
    <row r="27" spans="1:15">
      <c r="A27" s="2"/>
      <c r="B27" s="8"/>
      <c r="C27" s="9"/>
      <c r="D27" s="9"/>
      <c r="E27" s="9"/>
      <c r="F27" s="8"/>
      <c r="G27" s="8"/>
      <c r="H27" s="8"/>
      <c r="I27" s="8"/>
      <c r="J27" s="8"/>
      <c r="K27" s="8"/>
      <c r="L27" s="2"/>
      <c r="M27" s="2"/>
      <c r="N27" s="2"/>
      <c r="O27" s="2"/>
    </row>
    <row r="28" spans="1:15">
      <c r="A28" s="2"/>
      <c r="B28" s="8"/>
      <c r="C28" s="9"/>
      <c r="D28" s="9"/>
      <c r="E28" s="9"/>
      <c r="F28" s="8"/>
      <c r="G28" s="8"/>
      <c r="H28" s="8"/>
      <c r="I28" s="8"/>
      <c r="J28" s="8"/>
      <c r="K28" s="8"/>
      <c r="L28" s="2"/>
      <c r="M28" s="2"/>
      <c r="N28" s="2"/>
      <c r="O28" s="2"/>
    </row>
    <row r="29" spans="1:15" ht="16">
      <c r="A29" s="21" t="s">
        <v>89</v>
      </c>
      <c r="B29" s="22"/>
      <c r="C29" s="23"/>
      <c r="D29" s="23"/>
      <c r="E29" s="23"/>
      <c r="F29" s="22"/>
      <c r="G29" s="22"/>
      <c r="H29" s="22"/>
      <c r="I29" s="22"/>
      <c r="J29" s="22"/>
      <c r="K29" s="22"/>
      <c r="L29" s="2"/>
      <c r="M29" s="2" t="s">
        <v>74</v>
      </c>
      <c r="N29" s="2" t="s">
        <v>90</v>
      </c>
      <c r="O29" s="2"/>
    </row>
    <row r="30" spans="1:15" ht="32">
      <c r="A30" s="1" t="s">
        <v>76</v>
      </c>
      <c r="B30" s="6" t="s">
        <v>77</v>
      </c>
      <c r="C30" s="7" t="s">
        <v>78</v>
      </c>
      <c r="D30" s="7" t="s">
        <v>79</v>
      </c>
      <c r="E30" s="7" t="s">
        <v>80</v>
      </c>
      <c r="F30" s="6" t="s">
        <v>81</v>
      </c>
      <c r="G30" s="6" t="s">
        <v>82</v>
      </c>
      <c r="H30" s="6" t="s">
        <v>83</v>
      </c>
      <c r="I30" s="6" t="s">
        <v>84</v>
      </c>
      <c r="J30" s="6" t="s">
        <v>85</v>
      </c>
      <c r="K30" s="6" t="s">
        <v>86</v>
      </c>
      <c r="L30" s="2"/>
      <c r="M30" s="2" t="s">
        <v>87</v>
      </c>
      <c r="N30" s="2">
        <f>IF(J32&lt;0,A32,IF(J33&lt;0,A33,IF(J34&lt;0,A34,IF(J35&lt;0,A35,IF(J36&lt;0,A36,IF(J37&lt;0,A37,IF(J38&lt;0,A38,IF(J39&lt;0,A39,IF(J40&lt;0,A40,IF(J41&lt;0,A41,IF(J42&lt;0,A42,IF(J43&lt;0,A43,IF(J44&lt;0,A44,IF(J45&lt;0,A45,IF(J46&lt;0,A46,IF(J47&lt;0,A47,IF(J48&lt;0,A48,IF(J49&lt;0,A49,IF(J50&lt;0,A50,IF(J51&lt;0,A51,20))))))))))))))))))))</f>
        <v>11</v>
      </c>
      <c r="O30" s="2"/>
    </row>
    <row r="31" spans="1:15" ht="16">
      <c r="A31" s="2">
        <v>0</v>
      </c>
      <c r="B31" s="8">
        <f>A31*Inputs!$B$20</f>
        <v>0</v>
      </c>
      <c r="C31" s="9">
        <f>A31*Inputs!$B$21*Inputs!$B$4*(1+Inputs!$B$23)^A31</f>
        <v>0</v>
      </c>
      <c r="D31" s="9">
        <f>MIN(C31,Inputs!$B$9)</f>
        <v>0</v>
      </c>
      <c r="E31" s="9">
        <f>MAX(C31-Inputs!$B$9,0)</f>
        <v>0</v>
      </c>
      <c r="F31" s="8">
        <f>D31*Inputs!$B$10+E31*Inputs!$B$12</f>
        <v>0</v>
      </c>
      <c r="G31" s="8">
        <f>A31*Inputs!$B$22</f>
        <v>0</v>
      </c>
      <c r="H31" s="8">
        <f t="shared" ref="H31:H51" si="3">F31+G31</f>
        <v>0</v>
      </c>
      <c r="I31" s="8"/>
      <c r="J31" s="8"/>
      <c r="K31" s="8">
        <f t="shared" ref="K31:K51" si="4">B31-H31</f>
        <v>0</v>
      </c>
      <c r="L31" s="2"/>
      <c r="M31" s="2" t="s">
        <v>88</v>
      </c>
      <c r="N31" s="2">
        <f>N30-1</f>
        <v>10</v>
      </c>
      <c r="O31" s="2"/>
    </row>
    <row r="32" spans="1:15">
      <c r="A32" s="2">
        <v>1</v>
      </c>
      <c r="B32" s="8">
        <f>A32*Inputs!$B$20</f>
        <v>2094</v>
      </c>
      <c r="C32" s="9">
        <f>A32*Inputs!$B$21*Inputs!$B$4*(1+Inputs!$B$23)^A32</f>
        <v>30.749999999999996</v>
      </c>
      <c r="D32" s="9">
        <f>MIN(C32,Inputs!$B$9)</f>
        <v>30.749999999999996</v>
      </c>
      <c r="E32" s="9">
        <f>MAX(C32-Inputs!$B$9,0)</f>
        <v>0</v>
      </c>
      <c r="F32" s="8">
        <f>D32*Inputs!$B$10+E32*Inputs!$B$12</f>
        <v>1067.7083333333333</v>
      </c>
      <c r="G32" s="8">
        <f>A32*Inputs!$B$22</f>
        <v>440</v>
      </c>
      <c r="H32" s="8">
        <f t="shared" si="3"/>
        <v>1507.7083333333333</v>
      </c>
      <c r="I32" s="8">
        <f t="shared" ref="I32:I51" si="5">H32-H31</f>
        <v>1507.7083333333333</v>
      </c>
      <c r="J32" s="8">
        <f>Inputs!$B$20-I32</f>
        <v>586.29166666666674</v>
      </c>
      <c r="K32" s="8">
        <f t="shared" si="4"/>
        <v>586.29166666666674</v>
      </c>
      <c r="L32" s="2"/>
      <c r="M32" s="2"/>
      <c r="N32" s="2"/>
      <c r="O32" s="2"/>
    </row>
    <row r="33" spans="1:15">
      <c r="A33" s="2">
        <v>2</v>
      </c>
      <c r="B33" s="8">
        <f>A33*Inputs!$B$20</f>
        <v>4188</v>
      </c>
      <c r="C33" s="9">
        <f>A33*Inputs!$B$21*Inputs!$B$4*(1+Inputs!$B$23)^A33</f>
        <v>63.037499999999994</v>
      </c>
      <c r="D33" s="9">
        <f>MIN(C33,Inputs!$B$9)</f>
        <v>63.037499999999994</v>
      </c>
      <c r="E33" s="9">
        <f>MAX(C33-Inputs!$B$9,0)</f>
        <v>0</v>
      </c>
      <c r="F33" s="8">
        <f>D33*Inputs!$B$10+E33*Inputs!$B$12</f>
        <v>2188.802083333333</v>
      </c>
      <c r="G33" s="8">
        <f>A33*Inputs!$B$22</f>
        <v>880</v>
      </c>
      <c r="H33" s="8">
        <f t="shared" si="3"/>
        <v>3068.802083333333</v>
      </c>
      <c r="I33" s="8">
        <f t="shared" si="5"/>
        <v>1561.0937499999998</v>
      </c>
      <c r="J33" s="8">
        <f>Inputs!$B$20-I33</f>
        <v>532.90625000000023</v>
      </c>
      <c r="K33" s="8">
        <f t="shared" si="4"/>
        <v>1119.197916666667</v>
      </c>
      <c r="L33" s="2"/>
      <c r="M33" s="2"/>
      <c r="N33" s="2"/>
      <c r="O33" s="2"/>
    </row>
    <row r="34" spans="1:15">
      <c r="A34" s="2">
        <v>3</v>
      </c>
      <c r="B34" s="8">
        <f>A34*Inputs!$B$20</f>
        <v>6282</v>
      </c>
      <c r="C34" s="9">
        <f>A34*Inputs!$B$21*Inputs!$B$4*(1+Inputs!$B$23)^A34</f>
        <v>96.920156249999991</v>
      </c>
      <c r="D34" s="9">
        <f>MIN(C34,Inputs!$B$9)</f>
        <v>96.920156249999991</v>
      </c>
      <c r="E34" s="9">
        <f>MAX(C34-Inputs!$B$9,0)</f>
        <v>0</v>
      </c>
      <c r="F34" s="8">
        <f>D34*Inputs!$B$10+E34*Inputs!$B$12</f>
        <v>3365.2832031249995</v>
      </c>
      <c r="G34" s="8">
        <f>A34*Inputs!$B$22</f>
        <v>1320</v>
      </c>
      <c r="H34" s="8">
        <f t="shared" si="3"/>
        <v>4685.283203125</v>
      </c>
      <c r="I34" s="8">
        <f t="shared" si="5"/>
        <v>1616.481119791667</v>
      </c>
      <c r="J34" s="8">
        <f>Inputs!$B$20-I34</f>
        <v>477.51888020833303</v>
      </c>
      <c r="K34" s="8">
        <f t="shared" si="4"/>
        <v>1596.716796875</v>
      </c>
      <c r="L34" s="2"/>
      <c r="M34" s="2"/>
      <c r="N34" s="2"/>
      <c r="O34" s="2"/>
    </row>
    <row r="35" spans="1:15">
      <c r="A35" s="2">
        <v>4</v>
      </c>
      <c r="B35" s="8">
        <f>A35*Inputs!$B$20</f>
        <v>8376</v>
      </c>
      <c r="C35" s="9">
        <f>A35*Inputs!$B$21*Inputs!$B$4*(1+Inputs!$B$23)^A35</f>
        <v>132.45754687499996</v>
      </c>
      <c r="D35" s="9">
        <f>MIN(C35,Inputs!$B$9)</f>
        <v>132.45754687499996</v>
      </c>
      <c r="E35" s="9">
        <f>MAX(C35-Inputs!$B$9,0)</f>
        <v>0</v>
      </c>
      <c r="F35" s="8">
        <f>D35*Inputs!$B$10+E35*Inputs!$B$12</f>
        <v>4599.2203776041652</v>
      </c>
      <c r="G35" s="8">
        <f>A35*Inputs!$B$22</f>
        <v>1760</v>
      </c>
      <c r="H35" s="8">
        <f t="shared" si="3"/>
        <v>6359.2203776041652</v>
      </c>
      <c r="I35" s="8">
        <f t="shared" si="5"/>
        <v>1673.9371744791652</v>
      </c>
      <c r="J35" s="8">
        <f>Inputs!$B$20-I35</f>
        <v>420.06282552083485</v>
      </c>
      <c r="K35" s="8">
        <f t="shared" si="4"/>
        <v>2016.7796223958348</v>
      </c>
      <c r="L35" s="2"/>
      <c r="M35" s="2"/>
      <c r="N35" s="2"/>
      <c r="O35" s="2"/>
    </row>
    <row r="36" spans="1:15">
      <c r="A36" s="2">
        <v>5</v>
      </c>
      <c r="B36" s="8">
        <f>A36*Inputs!$B$20</f>
        <v>10470</v>
      </c>
      <c r="C36" s="9">
        <f>A36*Inputs!$B$21*Inputs!$B$4*(1+Inputs!$B$23)^A36</f>
        <v>169.71123193359369</v>
      </c>
      <c r="D36" s="9">
        <f>MIN(C36,Inputs!$B$9)</f>
        <v>169.71123193359369</v>
      </c>
      <c r="E36" s="9">
        <f>MAX(C36-Inputs!$B$9,0)</f>
        <v>0</v>
      </c>
      <c r="F36" s="8">
        <f>D36*Inputs!$B$10+E36*Inputs!$B$12</f>
        <v>5892.7511088053361</v>
      </c>
      <c r="G36" s="8">
        <f>A36*Inputs!$B$22</f>
        <v>2200</v>
      </c>
      <c r="H36" s="8">
        <f t="shared" si="3"/>
        <v>8092.7511088053361</v>
      </c>
      <c r="I36" s="8">
        <f t="shared" si="5"/>
        <v>1733.530731201171</v>
      </c>
      <c r="J36" s="8">
        <f>Inputs!$B$20-I36</f>
        <v>360.46926879882903</v>
      </c>
      <c r="K36" s="8">
        <f t="shared" si="4"/>
        <v>2377.2488911946639</v>
      </c>
      <c r="L36" s="2"/>
      <c r="M36" s="2"/>
      <c r="N36" s="2"/>
      <c r="O36" s="2"/>
    </row>
    <row r="37" spans="1:15">
      <c r="A37" s="2">
        <v>6</v>
      </c>
      <c r="B37" s="8">
        <f>A37*Inputs!$B$20</f>
        <v>12564</v>
      </c>
      <c r="C37" s="9">
        <f>A37*Inputs!$B$21*Inputs!$B$4*(1+Inputs!$B$23)^A37</f>
        <v>208.74481527832023</v>
      </c>
      <c r="D37" s="9">
        <f>MIN(C37,Inputs!$B$9)</f>
        <v>208.74481527832023</v>
      </c>
      <c r="E37" s="9">
        <f>MAX(C37-Inputs!$B$9,0)</f>
        <v>0</v>
      </c>
      <c r="F37" s="8">
        <f>D37*Inputs!$B$10+E37*Inputs!$B$12</f>
        <v>7248.0838638305631</v>
      </c>
      <c r="G37" s="8">
        <f>A37*Inputs!$B$22</f>
        <v>2640</v>
      </c>
      <c r="H37" s="8">
        <f t="shared" si="3"/>
        <v>9888.0838638305631</v>
      </c>
      <c r="I37" s="8">
        <f t="shared" si="5"/>
        <v>1795.332755025227</v>
      </c>
      <c r="J37" s="8">
        <f>Inputs!$B$20-I37</f>
        <v>298.66724497477298</v>
      </c>
      <c r="K37" s="8">
        <f t="shared" si="4"/>
        <v>2675.9161361694369</v>
      </c>
      <c r="L37" s="2"/>
      <c r="M37" s="2"/>
      <c r="N37" s="2"/>
      <c r="O37" s="2"/>
    </row>
    <row r="38" spans="1:15">
      <c r="A38" s="2">
        <v>7</v>
      </c>
      <c r="B38" s="8">
        <f>A38*Inputs!$B$20</f>
        <v>14658</v>
      </c>
      <c r="C38" s="9">
        <f>A38*Inputs!$B$21*Inputs!$B$4*(1+Inputs!$B$23)^A38</f>
        <v>249.62400827032465</v>
      </c>
      <c r="D38" s="9">
        <f>MIN(C38,Inputs!$B$9)</f>
        <v>249.62400827032465</v>
      </c>
      <c r="E38" s="9">
        <f>MAX(C38-Inputs!$B$9,0)</f>
        <v>0</v>
      </c>
      <c r="F38" s="8">
        <f>D38*Inputs!$B$10+E38*Inputs!$B$12</f>
        <v>8667.50028716405</v>
      </c>
      <c r="G38" s="8">
        <f>A38*Inputs!$B$22</f>
        <v>3080</v>
      </c>
      <c r="H38" s="8">
        <f t="shared" si="3"/>
        <v>11747.50028716405</v>
      </c>
      <c r="I38" s="8">
        <f t="shared" si="5"/>
        <v>1859.4164233334868</v>
      </c>
      <c r="J38" s="8">
        <f>Inputs!$B$20-I38</f>
        <v>234.58357666651318</v>
      </c>
      <c r="K38" s="8">
        <f t="shared" si="4"/>
        <v>2910.49971283595</v>
      </c>
      <c r="L38" s="2"/>
      <c r="M38" s="2"/>
      <c r="N38" s="2"/>
      <c r="O38" s="2"/>
    </row>
    <row r="39" spans="1:15">
      <c r="A39" s="2">
        <v>8</v>
      </c>
      <c r="B39" s="8">
        <f>A39*Inputs!$B$20</f>
        <v>16752</v>
      </c>
      <c r="C39" s="9">
        <f>A39*Inputs!$B$21*Inputs!$B$4*(1+Inputs!$B$23)^A39</f>
        <v>292.41669540238024</v>
      </c>
      <c r="D39" s="9">
        <f>MIN(C39,Inputs!$B$9)</f>
        <v>292.41669540238024</v>
      </c>
      <c r="E39" s="9">
        <f>MAX(C39-Inputs!$B$9,0)</f>
        <v>0</v>
      </c>
      <c r="F39" s="8">
        <f>D39*Inputs!$B$10+E39*Inputs!$B$12</f>
        <v>10153.357479249315</v>
      </c>
      <c r="G39" s="8">
        <f>A39*Inputs!$B$22</f>
        <v>3520</v>
      </c>
      <c r="H39" s="8">
        <f t="shared" si="3"/>
        <v>13673.357479249315</v>
      </c>
      <c r="I39" s="8">
        <f t="shared" si="5"/>
        <v>1925.8571920852646</v>
      </c>
      <c r="J39" s="8">
        <f>Inputs!$B$20-I39</f>
        <v>168.14280791473539</v>
      </c>
      <c r="K39" s="8">
        <f t="shared" si="4"/>
        <v>3078.6425207506854</v>
      </c>
      <c r="L39" s="2"/>
      <c r="M39" s="2"/>
      <c r="N39" s="2"/>
      <c r="O39" s="2"/>
    </row>
    <row r="40" spans="1:15">
      <c r="A40" s="2">
        <v>9</v>
      </c>
      <c r="B40" s="8">
        <f>A40*Inputs!$B$20</f>
        <v>18846</v>
      </c>
      <c r="C40" s="9">
        <f>A40*Inputs!$B$21*Inputs!$B$4*(1+Inputs!$B$23)^A40</f>
        <v>337.19300188586965</v>
      </c>
      <c r="D40" s="9">
        <f>MIN(C40,Inputs!$B$9)</f>
        <v>337.19300188586965</v>
      </c>
      <c r="E40" s="9">
        <f>MAX(C40-Inputs!$B$9,0)</f>
        <v>0</v>
      </c>
      <c r="F40" s="8">
        <f>D40*Inputs!$B$10+E40*Inputs!$B$12</f>
        <v>11708.090343259362</v>
      </c>
      <c r="G40" s="8">
        <f>A40*Inputs!$B$22</f>
        <v>3960</v>
      </c>
      <c r="H40" s="8">
        <f t="shared" si="3"/>
        <v>15668.090343259362</v>
      </c>
      <c r="I40" s="8">
        <f t="shared" si="5"/>
        <v>1994.7328640100477</v>
      </c>
      <c r="J40" s="8">
        <f>Inputs!$B$20-I40</f>
        <v>99.267135989952294</v>
      </c>
      <c r="K40" s="8">
        <f t="shared" si="4"/>
        <v>3177.9096567406377</v>
      </c>
      <c r="L40" s="2"/>
      <c r="M40" s="2"/>
      <c r="N40" s="2"/>
      <c r="O40" s="2"/>
    </row>
    <row r="41" spans="1:15">
      <c r="A41" s="2">
        <v>10</v>
      </c>
      <c r="B41" s="8">
        <f>A41*Inputs!$B$20</f>
        <v>20940</v>
      </c>
      <c r="C41" s="9">
        <f>A41*Inputs!$B$21*Inputs!$B$4*(1+Inputs!$B$23)^A41</f>
        <v>384.02536325890713</v>
      </c>
      <c r="D41" s="9">
        <f>MIN(C41,Inputs!$B$9)</f>
        <v>384.02536325890713</v>
      </c>
      <c r="E41" s="9">
        <f>MAX(C41-Inputs!$B$9,0)</f>
        <v>0</v>
      </c>
      <c r="F41" s="8">
        <f>D41*Inputs!$B$10+E41*Inputs!$B$12</f>
        <v>13334.214002045386</v>
      </c>
      <c r="G41" s="8">
        <f>A41*Inputs!$B$22</f>
        <v>4400</v>
      </c>
      <c r="H41" s="8">
        <f t="shared" si="3"/>
        <v>17734.214002045388</v>
      </c>
      <c r="I41" s="8">
        <f t="shared" si="5"/>
        <v>2066.1236587860258</v>
      </c>
      <c r="J41" s="8">
        <f>Inputs!$B$20-I41</f>
        <v>27.876341213974229</v>
      </c>
      <c r="K41" s="8">
        <f t="shared" si="4"/>
        <v>3205.785997954612</v>
      </c>
      <c r="L41" s="2"/>
      <c r="M41" s="2"/>
      <c r="N41" s="2"/>
      <c r="O41" s="2"/>
    </row>
    <row r="42" spans="1:15">
      <c r="A42" s="2">
        <v>11</v>
      </c>
      <c r="B42" s="8">
        <f>A42*Inputs!$B$20</f>
        <v>23034</v>
      </c>
      <c r="C42" s="9">
        <f>A42*Inputs!$B$21*Inputs!$B$4*(1+Inputs!$B$23)^A42</f>
        <v>432.98859707441784</v>
      </c>
      <c r="D42" s="9">
        <f>MIN(C42,Inputs!$B$9)</f>
        <v>432.98859707441784</v>
      </c>
      <c r="E42" s="9">
        <f>MAX(C42-Inputs!$B$9,0)</f>
        <v>0</v>
      </c>
      <c r="F42" s="8">
        <f>D42*Inputs!$B$10+E42*Inputs!$B$12</f>
        <v>15034.326287306174</v>
      </c>
      <c r="G42" s="8">
        <f>A42*Inputs!$B$22</f>
        <v>4840</v>
      </c>
      <c r="H42" s="8">
        <f t="shared" si="3"/>
        <v>19874.326287306176</v>
      </c>
      <c r="I42" s="8">
        <f t="shared" si="5"/>
        <v>2140.1122852607878</v>
      </c>
      <c r="J42" s="8">
        <f>Inputs!$B$20-I42</f>
        <v>-46.112285260787758</v>
      </c>
      <c r="K42" s="8">
        <f t="shared" si="4"/>
        <v>3159.6737126938242</v>
      </c>
      <c r="L42" s="2"/>
      <c r="M42" s="2"/>
      <c r="N42" s="2"/>
      <c r="O42" s="2"/>
    </row>
    <row r="43" spans="1:15">
      <c r="A43" s="2">
        <v>12</v>
      </c>
      <c r="B43" s="8">
        <f>A43*Inputs!$B$20</f>
        <v>25128</v>
      </c>
      <c r="C43" s="9">
        <f>A43*Inputs!$B$21*Inputs!$B$4*(1+Inputs!$B$23)^A43</f>
        <v>484.15997672866712</v>
      </c>
      <c r="D43" s="9">
        <f>MIN(C43,Inputs!$B$9)</f>
        <v>484.15997672866712</v>
      </c>
      <c r="E43" s="9">
        <f>MAX(C43-Inputs!$B$9,0)</f>
        <v>0</v>
      </c>
      <c r="F43" s="8">
        <f>D43*Inputs!$B$10+E43*Inputs!$B$12</f>
        <v>16811.11030307872</v>
      </c>
      <c r="G43" s="8">
        <f>A43*Inputs!$B$22</f>
        <v>5280</v>
      </c>
      <c r="H43" s="8">
        <f t="shared" si="3"/>
        <v>22091.11030307872</v>
      </c>
      <c r="I43" s="8">
        <f t="shared" si="5"/>
        <v>2216.7840157725441</v>
      </c>
      <c r="J43" s="8">
        <f>Inputs!$B$20-I43</f>
        <v>-122.78401577254408</v>
      </c>
      <c r="K43" s="8">
        <f t="shared" si="4"/>
        <v>3036.8896969212801</v>
      </c>
      <c r="L43" s="2"/>
      <c r="M43" s="2"/>
      <c r="N43" s="2"/>
      <c r="O43" s="2"/>
    </row>
    <row r="44" spans="1:15">
      <c r="A44" s="2">
        <v>13</v>
      </c>
      <c r="B44" s="8">
        <f>A44*Inputs!$B$20</f>
        <v>27222</v>
      </c>
      <c r="C44" s="9">
        <f>A44*Inputs!$B$21*Inputs!$B$4*(1+Inputs!$B$23)^A44</f>
        <v>537.61930749245744</v>
      </c>
      <c r="D44" s="9">
        <f>MIN(C44,Inputs!$B$9)</f>
        <v>537.61930749245744</v>
      </c>
      <c r="E44" s="9">
        <f>MAX(C44-Inputs!$B$9,0)</f>
        <v>0</v>
      </c>
      <c r="F44" s="8">
        <f>D44*Inputs!$B$10+E44*Inputs!$B$12</f>
        <v>18667.337065710326</v>
      </c>
      <c r="G44" s="8">
        <f>A44*Inputs!$B$22</f>
        <v>5720</v>
      </c>
      <c r="H44" s="8">
        <f t="shared" si="3"/>
        <v>24387.337065710326</v>
      </c>
      <c r="I44" s="8">
        <f t="shared" si="5"/>
        <v>2296.2267626316061</v>
      </c>
      <c r="J44" s="8">
        <f>Inputs!$B$20-I44</f>
        <v>-202.22676263160611</v>
      </c>
      <c r="K44" s="8">
        <f t="shared" si="4"/>
        <v>2834.662934289674</v>
      </c>
      <c r="L44" s="2"/>
      <c r="M44" s="2"/>
      <c r="N44" s="2"/>
      <c r="O44" s="2"/>
    </row>
    <row r="45" spans="1:15">
      <c r="A45" s="2">
        <v>14</v>
      </c>
      <c r="B45" s="8">
        <f>A45*Inputs!$B$20</f>
        <v>29316</v>
      </c>
      <c r="C45" s="9">
        <f>A45*Inputs!$B$21*Inputs!$B$4*(1+Inputs!$B$23)^A45</f>
        <v>593.44900480898184</v>
      </c>
      <c r="D45" s="9">
        <f>MIN(C45,Inputs!$B$9)</f>
        <v>593.44900480898184</v>
      </c>
      <c r="E45" s="9">
        <f>MAX(C45-Inputs!$B$9,0)</f>
        <v>0</v>
      </c>
      <c r="F45" s="8">
        <f>D45*Inputs!$B$10+E45*Inputs!$B$12</f>
        <v>20605.868222534093</v>
      </c>
      <c r="G45" s="8">
        <f>A45*Inputs!$B$22</f>
        <v>6160</v>
      </c>
      <c r="H45" s="8">
        <f t="shared" si="3"/>
        <v>26765.868222534093</v>
      </c>
      <c r="I45" s="8">
        <f t="shared" si="5"/>
        <v>2378.5311568237667</v>
      </c>
      <c r="J45" s="8">
        <f>Inputs!$B$20-I45</f>
        <v>-284.53115682376665</v>
      </c>
      <c r="K45" s="8">
        <f t="shared" si="4"/>
        <v>2550.1317774659074</v>
      </c>
      <c r="L45" s="2"/>
      <c r="M45" s="2"/>
      <c r="N45" s="2"/>
      <c r="O45" s="2"/>
    </row>
    <row r="46" spans="1:15">
      <c r="A46" s="2">
        <v>15</v>
      </c>
      <c r="B46" s="8">
        <f>A46*Inputs!$B$20</f>
        <v>31410</v>
      </c>
      <c r="C46" s="9">
        <f>A46*Inputs!$B$21*Inputs!$B$4*(1+Inputs!$B$23)^A46</f>
        <v>651.73417492414967</v>
      </c>
      <c r="D46" s="9">
        <f>MIN(C46,Inputs!$B$9)</f>
        <v>651.73417492414967</v>
      </c>
      <c r="E46" s="9">
        <f>MAX(C46-Inputs!$B$9,0)</f>
        <v>0</v>
      </c>
      <c r="F46" s="8">
        <f>D46*Inputs!$B$10+E46*Inputs!$B$12</f>
        <v>22629.658851532975</v>
      </c>
      <c r="G46" s="8">
        <f>A46*Inputs!$B$22</f>
        <v>6600</v>
      </c>
      <c r="H46" s="8">
        <f t="shared" si="3"/>
        <v>29229.658851532975</v>
      </c>
      <c r="I46" s="8">
        <f t="shared" si="5"/>
        <v>2463.7906289988823</v>
      </c>
      <c r="J46" s="8">
        <f>Inputs!$B$20-I46</f>
        <v>-369.79062899888231</v>
      </c>
      <c r="K46" s="8">
        <f t="shared" si="4"/>
        <v>2180.3411484670251</v>
      </c>
      <c r="L46" s="2"/>
      <c r="M46" s="2"/>
      <c r="N46" s="2"/>
      <c r="O46" s="2"/>
    </row>
    <row r="47" spans="1:15">
      <c r="A47" s="2">
        <v>16</v>
      </c>
      <c r="B47" s="8">
        <f>A47*Inputs!$B$20</f>
        <v>33504</v>
      </c>
      <c r="C47" s="9">
        <f>A47*Inputs!$B$21*Inputs!$B$4*(1+Inputs!$B$23)^A47</f>
        <v>712.5626979170703</v>
      </c>
      <c r="D47" s="9">
        <f>MIN(C47,Inputs!$B$9)</f>
        <v>712.5626979170703</v>
      </c>
      <c r="E47" s="9">
        <f>MAX(C47-Inputs!$B$9,0)</f>
        <v>0</v>
      </c>
      <c r="F47" s="8">
        <f>D47*Inputs!$B$10+E47*Inputs!$B$12</f>
        <v>24741.760344342718</v>
      </c>
      <c r="G47" s="8">
        <f>A47*Inputs!$B$22</f>
        <v>7040</v>
      </c>
      <c r="H47" s="8">
        <f t="shared" si="3"/>
        <v>31781.760344342718</v>
      </c>
      <c r="I47" s="8">
        <f t="shared" si="5"/>
        <v>2552.1014928097429</v>
      </c>
      <c r="J47" s="8">
        <f>Inputs!$B$20-I47</f>
        <v>-458.10149280974292</v>
      </c>
      <c r="K47" s="8">
        <f t="shared" si="4"/>
        <v>1722.2396556572821</v>
      </c>
      <c r="L47" s="2"/>
      <c r="M47" s="2"/>
      <c r="N47" s="2"/>
      <c r="O47" s="2"/>
    </row>
    <row r="48" spans="1:15">
      <c r="A48" s="2">
        <v>17</v>
      </c>
      <c r="B48" s="8">
        <f>A48*Inputs!$B$20</f>
        <v>35598</v>
      </c>
      <c r="C48" s="9">
        <f>A48*Inputs!$B$21*Inputs!$B$4*(1+Inputs!$B$23)^A48</f>
        <v>776.02531320030937</v>
      </c>
      <c r="D48" s="9">
        <f>MIN(C48,Inputs!$B$9)</f>
        <v>720</v>
      </c>
      <c r="E48" s="9">
        <f>MAX(C48-Inputs!$B$9,0)</f>
        <v>56.02531320030937</v>
      </c>
      <c r="F48" s="8">
        <f>D48*Inputs!$B$10+E48*Inputs!$B$12</f>
        <v>25972.66168750537</v>
      </c>
      <c r="G48" s="8">
        <f>A48*Inputs!$B$22</f>
        <v>7480</v>
      </c>
      <c r="H48" s="8">
        <f t="shared" si="3"/>
        <v>33452.661687505373</v>
      </c>
      <c r="I48" s="8">
        <f t="shared" si="5"/>
        <v>1670.9013431626554</v>
      </c>
      <c r="J48" s="8">
        <f>Inputs!$B$20-I48</f>
        <v>423.09865683734461</v>
      </c>
      <c r="K48" s="8">
        <f t="shared" si="4"/>
        <v>2145.3383124946267</v>
      </c>
      <c r="L48" s="2"/>
      <c r="M48" s="2"/>
      <c r="N48" s="2"/>
      <c r="O48" s="2"/>
    </row>
    <row r="49" spans="1:15">
      <c r="A49" s="2">
        <v>18</v>
      </c>
      <c r="B49" s="8">
        <f>A49*Inputs!$B$20</f>
        <v>37692</v>
      </c>
      <c r="C49" s="9">
        <f>A49*Inputs!$B$21*Inputs!$B$4*(1+Inputs!$B$23)^A49</f>
        <v>842.2157075615122</v>
      </c>
      <c r="D49" s="9">
        <f>MIN(C49,Inputs!$B$9)</f>
        <v>720</v>
      </c>
      <c r="E49" s="9">
        <f>MAX(C49-Inputs!$B$9,0)</f>
        <v>122.2157075615122</v>
      </c>
      <c r="F49" s="8">
        <f>D49*Inputs!$B$10+E49*Inputs!$B$12</f>
        <v>27121.800478498477</v>
      </c>
      <c r="G49" s="8">
        <f>A49*Inputs!$B$22</f>
        <v>7920</v>
      </c>
      <c r="H49" s="8">
        <f t="shared" si="3"/>
        <v>35041.800478498481</v>
      </c>
      <c r="I49" s="8">
        <f t="shared" si="5"/>
        <v>1589.1387909931072</v>
      </c>
      <c r="J49" s="8">
        <f>Inputs!$B$20-I49</f>
        <v>504.86120900689275</v>
      </c>
      <c r="K49" s="8">
        <f t="shared" si="4"/>
        <v>2650.1995215015195</v>
      </c>
      <c r="L49" s="2"/>
      <c r="M49" s="2"/>
      <c r="N49" s="2"/>
      <c r="O49" s="2"/>
    </row>
    <row r="50" spans="1:15">
      <c r="A50" s="2">
        <v>19</v>
      </c>
      <c r="B50" s="8">
        <f>A50*Inputs!$B$20</f>
        <v>39786</v>
      </c>
      <c r="C50" s="9">
        <f>A50*Inputs!$B$21*Inputs!$B$4*(1+Inputs!$B$23)^A50</f>
        <v>911.23060582002495</v>
      </c>
      <c r="D50" s="9">
        <f>MIN(C50,Inputs!$B$9)</f>
        <v>720</v>
      </c>
      <c r="E50" s="9">
        <f>MAX(C50-Inputs!$B$9,0)</f>
        <v>191.23060582002495</v>
      </c>
      <c r="F50" s="8">
        <f>D50*Inputs!$B$10+E50*Inputs!$B$12</f>
        <v>28319.975795486545</v>
      </c>
      <c r="G50" s="8">
        <f>A50*Inputs!$B$22</f>
        <v>8360</v>
      </c>
      <c r="H50" s="8">
        <f t="shared" si="3"/>
        <v>36679.975795486549</v>
      </c>
      <c r="I50" s="8">
        <f t="shared" si="5"/>
        <v>1638.1753169880685</v>
      </c>
      <c r="J50" s="8">
        <f>Inputs!$B$20-I50</f>
        <v>455.82468301193148</v>
      </c>
      <c r="K50" s="8">
        <f t="shared" si="4"/>
        <v>3106.024204513451</v>
      </c>
      <c r="L50" s="2"/>
      <c r="M50" s="2"/>
      <c r="N50" s="2"/>
      <c r="O50" s="2"/>
    </row>
    <row r="51" spans="1:15">
      <c r="A51" s="2">
        <v>20</v>
      </c>
      <c r="B51" s="8">
        <f>A51*Inputs!$B$20</f>
        <v>41880</v>
      </c>
      <c r="C51" s="9">
        <f>A51*Inputs!$B$21*Inputs!$B$4*(1+Inputs!$B$23)^A51</f>
        <v>983.16986417423732</v>
      </c>
      <c r="D51" s="9">
        <f>MIN(C51,Inputs!$B$9)</f>
        <v>720</v>
      </c>
      <c r="E51" s="9">
        <f>MAX(C51-Inputs!$B$9,0)</f>
        <v>263.16986417423732</v>
      </c>
      <c r="F51" s="8">
        <f>D51*Inputs!$B$10+E51*Inputs!$B$12</f>
        <v>29568.921253024953</v>
      </c>
      <c r="G51" s="8">
        <f>A51*Inputs!$B$22</f>
        <v>8800</v>
      </c>
      <c r="H51" s="8">
        <f t="shared" si="3"/>
        <v>38368.92125302495</v>
      </c>
      <c r="I51" s="8">
        <f t="shared" si="5"/>
        <v>1688.9454575384007</v>
      </c>
      <c r="J51" s="8">
        <f>Inputs!$B$20-I51</f>
        <v>405.05454246159934</v>
      </c>
      <c r="K51" s="8">
        <f t="shared" si="4"/>
        <v>3511.0787469750503</v>
      </c>
      <c r="L51" s="2"/>
      <c r="M51" s="2"/>
      <c r="N51" s="2"/>
      <c r="O51" s="2"/>
    </row>
    <row r="52" spans="1:15">
      <c r="A52" s="2"/>
      <c r="B52" s="8"/>
      <c r="C52" s="9"/>
      <c r="D52" s="9"/>
      <c r="E52" s="9"/>
      <c r="F52" s="8"/>
      <c r="G52" s="8"/>
      <c r="H52" s="8"/>
      <c r="I52" s="8"/>
      <c r="J52" s="8"/>
      <c r="K52" s="8"/>
      <c r="L52" s="2"/>
      <c r="M52" s="2"/>
      <c r="N52" s="2"/>
      <c r="O52" s="2"/>
    </row>
    <row r="53" spans="1:15">
      <c r="A53" s="2"/>
      <c r="B53" s="8"/>
      <c r="C53" s="9"/>
      <c r="D53" s="9"/>
      <c r="E53" s="9"/>
      <c r="F53" s="8"/>
      <c r="G53" s="8"/>
      <c r="H53" s="8"/>
      <c r="I53" s="8"/>
      <c r="J53" s="8"/>
      <c r="K53" s="8"/>
      <c r="L53" s="2"/>
      <c r="M53" s="2"/>
      <c r="N53" s="2"/>
      <c r="O53" s="2"/>
    </row>
    <row r="54" spans="1:15" ht="16">
      <c r="A54" s="21" t="s">
        <v>91</v>
      </c>
      <c r="B54" s="22"/>
      <c r="C54" s="23"/>
      <c r="D54" s="23"/>
      <c r="E54" s="23"/>
      <c r="F54" s="22"/>
      <c r="G54" s="22"/>
      <c r="H54" s="22"/>
      <c r="I54" s="22"/>
      <c r="J54" s="22"/>
      <c r="K54" s="22"/>
      <c r="L54" s="2"/>
      <c r="M54" s="2" t="s">
        <v>74</v>
      </c>
      <c r="N54" s="2" t="s">
        <v>92</v>
      </c>
      <c r="O54" s="2"/>
    </row>
    <row r="55" spans="1:15" ht="32">
      <c r="A55" s="1" t="s">
        <v>76</v>
      </c>
      <c r="B55" s="6" t="s">
        <v>77</v>
      </c>
      <c r="C55" s="7" t="s">
        <v>78</v>
      </c>
      <c r="D55" s="7" t="s">
        <v>79</v>
      </c>
      <c r="E55" s="7" t="s">
        <v>80</v>
      </c>
      <c r="F55" s="6" t="s">
        <v>81</v>
      </c>
      <c r="G55" s="6" t="s">
        <v>82</v>
      </c>
      <c r="H55" s="6" t="s">
        <v>83</v>
      </c>
      <c r="I55" s="6" t="s">
        <v>84</v>
      </c>
      <c r="J55" s="6" t="s">
        <v>85</v>
      </c>
      <c r="K55" s="6" t="s">
        <v>86</v>
      </c>
      <c r="L55" s="2"/>
      <c r="M55" s="2" t="s">
        <v>87</v>
      </c>
      <c r="N55" s="2">
        <f>IF(J57&lt;0,A57,IF(J58&lt;0,A58,IF(J59&lt;0,A59,IF(J60&lt;0,A60,IF(J61&lt;0,A61,IF(J62&lt;0,A62,IF(J63&lt;0,A63,IF(J64&lt;0,A64,IF(J65&lt;0,A65,IF(J66&lt;0,A66,IF(J67&lt;0,A67,IF(J68&lt;0,A68,IF(J69&lt;0,A69,IF(J70&lt;0,A70,IF(J71&lt;0,A71,IF(J72&lt;0,A72,IF(J73&lt;0,A73,IF(J74&lt;0,A74,IF(J75&lt;0,A75,IF(J76&lt;0,A76,IF(J77&lt;0,A77,IF(J78&lt;0,A78,IF(J79&lt;0,A79,IF(J80&lt;0,A80,IF(J81&lt;0,A81,IF(J82&lt;0,A82,IF(J83&lt;0,A83,IF(J84&lt;0,A84,IF(J85&lt;0,A85,IF(J86&lt;0,A86,30))))))))))))))))))))))))))))))</f>
        <v>7</v>
      </c>
      <c r="O55" s="2"/>
    </row>
    <row r="56" spans="1:15" ht="16">
      <c r="A56" s="2">
        <v>0</v>
      </c>
      <c r="B56" s="8">
        <f>A56*Inputs!$B$25</f>
        <v>0</v>
      </c>
      <c r="C56" s="9">
        <f>A56*Inputs!$B$26*Inputs!$B$4*(1+Inputs!$B$28)^A56</f>
        <v>0</v>
      </c>
      <c r="D56" s="9">
        <f>MIN(C56,Inputs!$B$9)</f>
        <v>0</v>
      </c>
      <c r="E56" s="9">
        <f>MAX(C56-Inputs!$B$9,0)</f>
        <v>0</v>
      </c>
      <c r="F56" s="8">
        <f>D56*Inputs!$B$10+E56*Inputs!$B$12</f>
        <v>0</v>
      </c>
      <c r="G56" s="8">
        <f>A56*Inputs!$B$27</f>
        <v>0</v>
      </c>
      <c r="H56" s="8">
        <f t="shared" ref="H56:H86" si="6">F56+G56</f>
        <v>0</v>
      </c>
      <c r="I56" s="8"/>
      <c r="J56" s="8"/>
      <c r="K56" s="8">
        <f t="shared" ref="K56:K86" si="7">B56-H56</f>
        <v>0</v>
      </c>
      <c r="L56" s="2"/>
      <c r="M56" s="2" t="s">
        <v>88</v>
      </c>
      <c r="N56" s="2">
        <f>N55-1</f>
        <v>6</v>
      </c>
      <c r="O56" s="2"/>
    </row>
    <row r="57" spans="1:15">
      <c r="A57" s="2">
        <v>1</v>
      </c>
      <c r="B57" s="8">
        <f>A57*Inputs!$B$25</f>
        <v>2700</v>
      </c>
      <c r="C57" s="9">
        <f>A57*Inputs!$B$26*Inputs!$B$4*(1+Inputs!$B$28)^A57</f>
        <v>45.5625</v>
      </c>
      <c r="D57" s="9">
        <f>MIN(C57,Inputs!$B$9)</f>
        <v>45.5625</v>
      </c>
      <c r="E57" s="9">
        <f>MAX(C57-Inputs!$B$9,0)</f>
        <v>0</v>
      </c>
      <c r="F57" s="8">
        <f>D57*Inputs!$B$10+E57*Inputs!$B$12</f>
        <v>1582.03125</v>
      </c>
      <c r="G57" s="8">
        <f>A57*Inputs!$B$27</f>
        <v>880</v>
      </c>
      <c r="H57" s="8">
        <f t="shared" si="6"/>
        <v>2462.03125</v>
      </c>
      <c r="I57" s="8">
        <f t="shared" ref="I57:I86" si="8">H57-H56</f>
        <v>2462.03125</v>
      </c>
      <c r="J57" s="8">
        <f>Inputs!$B$25-I57</f>
        <v>237.96875</v>
      </c>
      <c r="K57" s="8">
        <f t="shared" si="7"/>
        <v>237.96875</v>
      </c>
      <c r="L57" s="2"/>
      <c r="M57" s="2"/>
      <c r="N57" s="2"/>
      <c r="O57" s="2"/>
    </row>
    <row r="58" spans="1:15">
      <c r="A58" s="2">
        <v>2</v>
      </c>
      <c r="B58" s="8">
        <f>A58*Inputs!$B$25</f>
        <v>5400</v>
      </c>
      <c r="C58" s="9">
        <f>A58*Inputs!$B$26*Inputs!$B$4*(1+Inputs!$B$28)^A58</f>
        <v>92.264062499999994</v>
      </c>
      <c r="D58" s="9">
        <f>MIN(C58,Inputs!$B$9)</f>
        <v>92.264062499999994</v>
      </c>
      <c r="E58" s="9">
        <f>MAX(C58-Inputs!$B$9,0)</f>
        <v>0</v>
      </c>
      <c r="F58" s="8">
        <f>D58*Inputs!$B$10+E58*Inputs!$B$12</f>
        <v>3203.6132812499995</v>
      </c>
      <c r="G58" s="8">
        <f>A58*Inputs!$B$27</f>
        <v>1760</v>
      </c>
      <c r="H58" s="8">
        <f t="shared" si="6"/>
        <v>4963.61328125</v>
      </c>
      <c r="I58" s="8">
        <f t="shared" si="8"/>
        <v>2501.58203125</v>
      </c>
      <c r="J58" s="8">
        <f>Inputs!$B$25-I58</f>
        <v>198.41796875</v>
      </c>
      <c r="K58" s="8">
        <f t="shared" si="7"/>
        <v>436.38671875</v>
      </c>
      <c r="L58" s="2"/>
      <c r="M58" s="2"/>
      <c r="N58" s="2"/>
      <c r="O58" s="2"/>
    </row>
    <row r="59" spans="1:15">
      <c r="A59" s="2">
        <v>3</v>
      </c>
      <c r="B59" s="8">
        <f>A59*Inputs!$B$25</f>
        <v>8100</v>
      </c>
      <c r="C59" s="9">
        <f>A59*Inputs!$B$26*Inputs!$B$4*(1+Inputs!$B$28)^A59</f>
        <v>140.12604492187498</v>
      </c>
      <c r="D59" s="9">
        <f>MIN(C59,Inputs!$B$9)</f>
        <v>140.12604492187498</v>
      </c>
      <c r="E59" s="9">
        <f>MAX(C59-Inputs!$B$9,0)</f>
        <v>0</v>
      </c>
      <c r="F59" s="8">
        <f>D59*Inputs!$B$10+E59*Inputs!$B$12</f>
        <v>4865.4876708984366</v>
      </c>
      <c r="G59" s="8">
        <f>A59*Inputs!$B$27</f>
        <v>2640</v>
      </c>
      <c r="H59" s="8">
        <f t="shared" si="6"/>
        <v>7505.4876708984366</v>
      </c>
      <c r="I59" s="8">
        <f t="shared" si="8"/>
        <v>2541.8743896484366</v>
      </c>
      <c r="J59" s="8">
        <f>Inputs!$B$25-I59</f>
        <v>158.12561035156341</v>
      </c>
      <c r="K59" s="8">
        <f t="shared" si="7"/>
        <v>594.51232910156341</v>
      </c>
      <c r="L59" s="2"/>
      <c r="M59" s="2"/>
      <c r="N59" s="2"/>
      <c r="O59" s="2"/>
    </row>
    <row r="60" spans="1:15">
      <c r="A60" s="2">
        <v>4</v>
      </c>
      <c r="B60" s="8">
        <f>A60*Inputs!$B$25</f>
        <v>10800</v>
      </c>
      <c r="C60" s="9">
        <f>A60*Inputs!$B$26*Inputs!$B$4*(1+Inputs!$B$28)^A60</f>
        <v>189.17016064453125</v>
      </c>
      <c r="D60" s="9">
        <f>MIN(C60,Inputs!$B$9)</f>
        <v>189.17016064453125</v>
      </c>
      <c r="E60" s="9">
        <f>MAX(C60-Inputs!$B$9,0)</f>
        <v>0</v>
      </c>
      <c r="F60" s="8">
        <f>D60*Inputs!$B$10+E60*Inputs!$B$12</f>
        <v>6568.4083557128906</v>
      </c>
      <c r="G60" s="8">
        <f>A60*Inputs!$B$27</f>
        <v>3520</v>
      </c>
      <c r="H60" s="8">
        <f t="shared" si="6"/>
        <v>10088.408355712891</v>
      </c>
      <c r="I60" s="8">
        <f t="shared" si="8"/>
        <v>2582.920684814454</v>
      </c>
      <c r="J60" s="8">
        <f>Inputs!$B$25-I60</f>
        <v>117.07931518554597</v>
      </c>
      <c r="K60" s="8">
        <f t="shared" si="7"/>
        <v>711.59164428710938</v>
      </c>
      <c r="L60" s="2"/>
      <c r="M60" s="2"/>
      <c r="N60" s="2"/>
      <c r="O60" s="2"/>
    </row>
    <row r="61" spans="1:15">
      <c r="A61" s="2">
        <v>5</v>
      </c>
      <c r="B61" s="8">
        <f>A61*Inputs!$B$25</f>
        <v>13500</v>
      </c>
      <c r="C61" s="9">
        <f>A61*Inputs!$B$26*Inputs!$B$4*(1+Inputs!$B$28)^A61</f>
        <v>239.41848456573481</v>
      </c>
      <c r="D61" s="9">
        <f>MIN(C61,Inputs!$B$9)</f>
        <v>239.41848456573481</v>
      </c>
      <c r="E61" s="9">
        <f>MAX(C61-Inputs!$B$9,0)</f>
        <v>0</v>
      </c>
      <c r="F61" s="8">
        <f>D61*Inputs!$B$10+E61*Inputs!$B$12</f>
        <v>8313.1418251991254</v>
      </c>
      <c r="G61" s="8">
        <f>A61*Inputs!$B$27</f>
        <v>4400</v>
      </c>
      <c r="H61" s="8">
        <f t="shared" si="6"/>
        <v>12713.141825199125</v>
      </c>
      <c r="I61" s="8">
        <f t="shared" si="8"/>
        <v>2624.7334694862348</v>
      </c>
      <c r="J61" s="8">
        <f>Inputs!$B$25-I61</f>
        <v>75.266530513765247</v>
      </c>
      <c r="K61" s="8">
        <f t="shared" si="7"/>
        <v>786.85817480087462</v>
      </c>
      <c r="L61" s="2"/>
      <c r="M61" s="2"/>
      <c r="N61" s="2"/>
      <c r="O61" s="2"/>
    </row>
    <row r="62" spans="1:15">
      <c r="A62" s="2">
        <v>6</v>
      </c>
      <c r="B62" s="8">
        <f>A62*Inputs!$B$25</f>
        <v>16200</v>
      </c>
      <c r="C62" s="9">
        <f>A62*Inputs!$B$26*Inputs!$B$4*(1+Inputs!$B$28)^A62</f>
        <v>290.89345874736784</v>
      </c>
      <c r="D62" s="9">
        <f>MIN(C62,Inputs!$B$9)</f>
        <v>290.89345874736784</v>
      </c>
      <c r="E62" s="9">
        <f>MAX(C62-Inputs!$B$9,0)</f>
        <v>0</v>
      </c>
      <c r="F62" s="8">
        <f>D62*Inputs!$B$10+E62*Inputs!$B$12</f>
        <v>10100.467317616938</v>
      </c>
      <c r="G62" s="8">
        <f>A62*Inputs!$B$27</f>
        <v>5280</v>
      </c>
      <c r="H62" s="8">
        <f t="shared" si="6"/>
        <v>15380.467317616938</v>
      </c>
      <c r="I62" s="8">
        <f t="shared" si="8"/>
        <v>2667.3254924178127</v>
      </c>
      <c r="J62" s="8">
        <f>Inputs!$B$25-I62</f>
        <v>32.674507582187289</v>
      </c>
      <c r="K62" s="8">
        <f t="shared" si="7"/>
        <v>819.53268238306191</v>
      </c>
      <c r="L62" s="2"/>
      <c r="M62" s="2"/>
      <c r="N62" s="2"/>
      <c r="O62" s="2"/>
    </row>
    <row r="63" spans="1:15">
      <c r="A63" s="2">
        <v>7</v>
      </c>
      <c r="B63" s="8">
        <f>A63*Inputs!$B$25</f>
        <v>18900</v>
      </c>
      <c r="C63" s="9">
        <f>A63*Inputs!$B$26*Inputs!$B$4*(1+Inputs!$B$28)^A63</f>
        <v>343.61789814532818</v>
      </c>
      <c r="D63" s="9">
        <f>MIN(C63,Inputs!$B$9)</f>
        <v>343.61789814532818</v>
      </c>
      <c r="E63" s="9">
        <f>MAX(C63-Inputs!$B$9,0)</f>
        <v>0</v>
      </c>
      <c r="F63" s="8">
        <f>D63*Inputs!$B$10+E63*Inputs!$B$12</f>
        <v>11931.177018935006</v>
      </c>
      <c r="G63" s="8">
        <f>A63*Inputs!$B$27</f>
        <v>6160</v>
      </c>
      <c r="H63" s="8">
        <f t="shared" si="6"/>
        <v>18091.177018935006</v>
      </c>
      <c r="I63" s="8">
        <f t="shared" si="8"/>
        <v>2710.7097013180683</v>
      </c>
      <c r="J63" s="8">
        <f>Inputs!$B$25-I63</f>
        <v>-10.709701318068255</v>
      </c>
      <c r="K63" s="8">
        <f t="shared" si="7"/>
        <v>808.82298106499366</v>
      </c>
      <c r="L63" s="2"/>
      <c r="M63" s="2"/>
      <c r="N63" s="2"/>
      <c r="O63" s="2"/>
    </row>
    <row r="64" spans="1:15">
      <c r="A64" s="2">
        <v>8</v>
      </c>
      <c r="B64" s="8">
        <f>A64*Inputs!$B$25</f>
        <v>21600</v>
      </c>
      <c r="C64" s="9">
        <f>A64*Inputs!$B$26*Inputs!$B$4*(1+Inputs!$B$28)^A64</f>
        <v>397.61499642530839</v>
      </c>
      <c r="D64" s="9">
        <f>MIN(C64,Inputs!$B$9)</f>
        <v>397.61499642530839</v>
      </c>
      <c r="E64" s="9">
        <f>MAX(C64-Inputs!$B$9,0)</f>
        <v>0</v>
      </c>
      <c r="F64" s="8">
        <f>D64*Inputs!$B$10+E64*Inputs!$B$12</f>
        <v>13806.076264767653</v>
      </c>
      <c r="G64" s="8">
        <f>A64*Inputs!$B$27</f>
        <v>7040</v>
      </c>
      <c r="H64" s="8">
        <f t="shared" si="6"/>
        <v>20846.076264767653</v>
      </c>
      <c r="I64" s="8">
        <f t="shared" si="8"/>
        <v>2754.8992458326466</v>
      </c>
      <c r="J64" s="8">
        <f>Inputs!$B$25-I64</f>
        <v>-54.899245832646557</v>
      </c>
      <c r="K64" s="8">
        <f t="shared" si="7"/>
        <v>753.9237352323471</v>
      </c>
      <c r="L64" s="2"/>
      <c r="M64" s="2"/>
      <c r="N64" s="2"/>
      <c r="O64" s="2"/>
    </row>
    <row r="65" spans="1:15">
      <c r="A65" s="2">
        <v>9</v>
      </c>
      <c r="B65" s="8">
        <f>A65*Inputs!$B$25</f>
        <v>24300</v>
      </c>
      <c r="C65" s="9">
        <f>A65*Inputs!$B$26*Inputs!$B$4*(1+Inputs!$B$28)^A65</f>
        <v>452.90833186570285</v>
      </c>
      <c r="D65" s="9">
        <f>MIN(C65,Inputs!$B$9)</f>
        <v>452.90833186570285</v>
      </c>
      <c r="E65" s="9">
        <f>MAX(C65-Inputs!$B$9,0)</f>
        <v>0</v>
      </c>
      <c r="F65" s="8">
        <f>D65*Inputs!$B$10+E65*Inputs!$B$12</f>
        <v>15725.983745336904</v>
      </c>
      <c r="G65" s="8">
        <f>A65*Inputs!$B$27</f>
        <v>7920</v>
      </c>
      <c r="H65" s="8">
        <f t="shared" si="6"/>
        <v>23645.983745336904</v>
      </c>
      <c r="I65" s="8">
        <f t="shared" si="8"/>
        <v>2799.9074805692508</v>
      </c>
      <c r="J65" s="8">
        <f>Inputs!$B$25-I65</f>
        <v>-99.907480569250765</v>
      </c>
      <c r="K65" s="8">
        <f t="shared" si="7"/>
        <v>654.01625466309633</v>
      </c>
      <c r="L65" s="2"/>
      <c r="M65" s="2"/>
      <c r="N65" s="2"/>
      <c r="O65" s="2"/>
    </row>
    <row r="66" spans="1:15">
      <c r="A66" s="2">
        <v>10</v>
      </c>
      <c r="B66" s="8">
        <f>A66*Inputs!$B$25</f>
        <v>27000</v>
      </c>
      <c r="C66" s="9">
        <f>A66*Inputs!$B$26*Inputs!$B$4*(1+Inputs!$B$28)^A66</f>
        <v>509.52187334891573</v>
      </c>
      <c r="D66" s="9">
        <f>MIN(C66,Inputs!$B$9)</f>
        <v>509.52187334891573</v>
      </c>
      <c r="E66" s="9">
        <f>MAX(C66-Inputs!$B$9,0)</f>
        <v>0</v>
      </c>
      <c r="F66" s="8">
        <f>D66*Inputs!$B$10+E66*Inputs!$B$12</f>
        <v>17691.731713504018</v>
      </c>
      <c r="G66" s="8">
        <f>A66*Inputs!$B$27</f>
        <v>8800</v>
      </c>
      <c r="H66" s="8">
        <f t="shared" si="6"/>
        <v>26491.731713504018</v>
      </c>
      <c r="I66" s="8">
        <f t="shared" si="8"/>
        <v>2845.7479681671139</v>
      </c>
      <c r="J66" s="8">
        <f>Inputs!$B$25-I66</f>
        <v>-145.74796816711387</v>
      </c>
      <c r="K66" s="8">
        <f t="shared" si="7"/>
        <v>508.26828649598247</v>
      </c>
      <c r="L66" s="2"/>
      <c r="M66" s="2"/>
      <c r="N66" s="2"/>
      <c r="O66" s="2"/>
    </row>
    <row r="67" spans="1:15">
      <c r="A67" s="2">
        <v>11</v>
      </c>
      <c r="B67" s="8">
        <f>A67*Inputs!$B$25</f>
        <v>29700</v>
      </c>
      <c r="C67" s="9">
        <f>A67*Inputs!$B$26*Inputs!$B$4*(1+Inputs!$B$28)^A67</f>
        <v>567.47998644235474</v>
      </c>
      <c r="D67" s="9">
        <f>MIN(C67,Inputs!$B$9)</f>
        <v>567.47998644235474</v>
      </c>
      <c r="E67" s="9">
        <f>MAX(C67-Inputs!$B$9,0)</f>
        <v>0</v>
      </c>
      <c r="F67" s="8">
        <f>D67*Inputs!$B$10+E67*Inputs!$B$12</f>
        <v>19704.166195915095</v>
      </c>
      <c r="G67" s="8">
        <f>A67*Inputs!$B$27</f>
        <v>9680</v>
      </c>
      <c r="H67" s="8">
        <f t="shared" si="6"/>
        <v>29384.166195915095</v>
      </c>
      <c r="I67" s="8">
        <f t="shared" si="8"/>
        <v>2892.4344824110776</v>
      </c>
      <c r="J67" s="8">
        <f>Inputs!$B$25-I67</f>
        <v>-192.43448241107762</v>
      </c>
      <c r="K67" s="8">
        <f t="shared" si="7"/>
        <v>315.83380408490484</v>
      </c>
      <c r="L67" s="2"/>
      <c r="M67" s="2"/>
      <c r="N67" s="2"/>
      <c r="O67" s="2"/>
    </row>
    <row r="68" spans="1:15">
      <c r="A68" s="2">
        <v>12</v>
      </c>
      <c r="B68" s="8">
        <f>A68*Inputs!$B$25</f>
        <v>32400</v>
      </c>
      <c r="C68" s="9">
        <f>A68*Inputs!$B$26*Inputs!$B$4*(1+Inputs!$B$28)^A68</f>
        <v>626.80743957041921</v>
      </c>
      <c r="D68" s="9">
        <f>MIN(C68,Inputs!$B$9)</f>
        <v>626.80743957041921</v>
      </c>
      <c r="E68" s="9">
        <f>MAX(C68-Inputs!$B$9,0)</f>
        <v>0</v>
      </c>
      <c r="F68" s="8">
        <f>D68*Inputs!$B$10+E68*Inputs!$B$12</f>
        <v>21764.147207306221</v>
      </c>
      <c r="G68" s="8">
        <f>A68*Inputs!$B$27</f>
        <v>10560</v>
      </c>
      <c r="H68" s="8">
        <f t="shared" si="6"/>
        <v>32324.147207306221</v>
      </c>
      <c r="I68" s="8">
        <f t="shared" si="8"/>
        <v>2939.9810113911262</v>
      </c>
      <c r="J68" s="8">
        <f>Inputs!$B$25-I68</f>
        <v>-239.98101139112623</v>
      </c>
      <c r="K68" s="8">
        <f t="shared" si="7"/>
        <v>75.852792693778611</v>
      </c>
      <c r="L68" s="2"/>
      <c r="M68" s="2"/>
      <c r="N68" s="2"/>
      <c r="O68" s="2"/>
    </row>
    <row r="69" spans="1:15">
      <c r="A69" s="2">
        <v>13</v>
      </c>
      <c r="B69" s="8">
        <f>A69*Inputs!$B$25</f>
        <v>35100</v>
      </c>
      <c r="C69" s="9">
        <f>A69*Inputs!$B$26*Inputs!$B$4*(1+Inputs!$B$28)^A69</f>
        <v>687.52941027880343</v>
      </c>
      <c r="D69" s="9">
        <f>MIN(C69,Inputs!$B$9)</f>
        <v>687.52941027880343</v>
      </c>
      <c r="E69" s="9">
        <f>MAX(C69-Inputs!$B$9,0)</f>
        <v>0</v>
      </c>
      <c r="F69" s="8">
        <f>D69*Inputs!$B$10+E69*Inputs!$B$12</f>
        <v>23872.548968014009</v>
      </c>
      <c r="G69" s="8">
        <f>A69*Inputs!$B$27</f>
        <v>11440</v>
      </c>
      <c r="H69" s="8">
        <f t="shared" si="6"/>
        <v>35312.548968014009</v>
      </c>
      <c r="I69" s="8">
        <f t="shared" si="8"/>
        <v>2988.4017607077876</v>
      </c>
      <c r="J69" s="8">
        <f>Inputs!$B$25-I69</f>
        <v>-288.40176070778762</v>
      </c>
      <c r="K69" s="8">
        <f t="shared" si="7"/>
        <v>-212.54896801400901</v>
      </c>
      <c r="L69" s="2"/>
      <c r="M69" s="2"/>
      <c r="N69" s="2"/>
      <c r="O69" s="2"/>
    </row>
    <row r="70" spans="1:15">
      <c r="A70" s="2">
        <v>14</v>
      </c>
      <c r="B70" s="8">
        <f>A70*Inputs!$B$25</f>
        <v>37800</v>
      </c>
      <c r="C70" s="9">
        <f>A70*Inputs!$B$26*Inputs!$B$4*(1+Inputs!$B$28)^A70</f>
        <v>749.67149159246469</v>
      </c>
      <c r="D70" s="9">
        <f>MIN(C70,Inputs!$B$9)</f>
        <v>720</v>
      </c>
      <c r="E70" s="9">
        <f>MAX(C70-Inputs!$B$9,0)</f>
        <v>29.67149159246469</v>
      </c>
      <c r="F70" s="8">
        <f>D70*Inputs!$B$10+E70*Inputs!$B$12</f>
        <v>25515.130062369179</v>
      </c>
      <c r="G70" s="8">
        <f>A70*Inputs!$B$27</f>
        <v>12320</v>
      </c>
      <c r="H70" s="8">
        <f t="shared" si="6"/>
        <v>37835.130062369179</v>
      </c>
      <c r="I70" s="8">
        <f t="shared" si="8"/>
        <v>2522.5810943551696</v>
      </c>
      <c r="J70" s="8">
        <f>Inputs!$B$25-I70</f>
        <v>177.41890564483037</v>
      </c>
      <c r="K70" s="8">
        <f t="shared" si="7"/>
        <v>-35.130062369178631</v>
      </c>
      <c r="L70" s="2"/>
      <c r="M70" s="2"/>
      <c r="N70" s="2"/>
      <c r="O70" s="2"/>
    </row>
    <row r="71" spans="1:15">
      <c r="A71" s="2">
        <v>15</v>
      </c>
      <c r="B71" s="8">
        <f>A71*Inputs!$B$25</f>
        <v>40500</v>
      </c>
      <c r="C71" s="9">
        <f>A71*Inputs!$B$26*Inputs!$B$4*(1+Inputs!$B$28)^A71</f>
        <v>813.25969846861108</v>
      </c>
      <c r="D71" s="9">
        <f>MIN(C71,Inputs!$B$9)</f>
        <v>720</v>
      </c>
      <c r="E71" s="9">
        <f>MAX(C71-Inputs!$B$9,0)</f>
        <v>93.259698468611077</v>
      </c>
      <c r="F71" s="8">
        <f>D71*Inputs!$B$10+E71*Inputs!$B$12</f>
        <v>26619.091987302276</v>
      </c>
      <c r="G71" s="8">
        <f>A71*Inputs!$B$27</f>
        <v>13200</v>
      </c>
      <c r="H71" s="8">
        <f t="shared" si="6"/>
        <v>39819.091987302279</v>
      </c>
      <c r="I71" s="8">
        <f t="shared" si="8"/>
        <v>1983.9619249331008</v>
      </c>
      <c r="J71" s="8">
        <f>Inputs!$B$25-I71</f>
        <v>716.03807506689918</v>
      </c>
      <c r="K71" s="8">
        <f t="shared" si="7"/>
        <v>680.90801269772055</v>
      </c>
      <c r="L71" s="2"/>
      <c r="M71" s="2"/>
      <c r="N71" s="2"/>
      <c r="O71" s="2"/>
    </row>
    <row r="72" spans="1:15">
      <c r="A72" s="2">
        <v>16</v>
      </c>
      <c r="B72" s="8">
        <f>A72*Inputs!$B$25</f>
        <v>43200</v>
      </c>
      <c r="C72" s="9">
        <f>A72*Inputs!$B$26*Inputs!$B$4*(1+Inputs!$B$28)^A72</f>
        <v>878.32047434610013</v>
      </c>
      <c r="D72" s="9">
        <f>MIN(C72,Inputs!$B$9)</f>
        <v>720</v>
      </c>
      <c r="E72" s="9">
        <f>MAX(C72-Inputs!$B$9,0)</f>
        <v>158.32047434610013</v>
      </c>
      <c r="F72" s="8">
        <f>D72*Inputs!$B$10+E72*Inputs!$B$12</f>
        <v>27748.619346286461</v>
      </c>
      <c r="G72" s="8">
        <f>A72*Inputs!$B$27</f>
        <v>14080</v>
      </c>
      <c r="H72" s="8">
        <f t="shared" si="6"/>
        <v>41828.619346286461</v>
      </c>
      <c r="I72" s="8">
        <f t="shared" si="8"/>
        <v>2009.5273589841818</v>
      </c>
      <c r="J72" s="8">
        <f>Inputs!$B$25-I72</f>
        <v>690.47264101581823</v>
      </c>
      <c r="K72" s="8">
        <f t="shared" si="7"/>
        <v>1371.3806537135388</v>
      </c>
      <c r="L72" s="2"/>
      <c r="M72" s="2"/>
      <c r="N72" s="2"/>
      <c r="O72" s="2"/>
    </row>
    <row r="73" spans="1:15">
      <c r="A73" s="2">
        <v>17</v>
      </c>
      <c r="B73" s="8">
        <f>A73*Inputs!$B$25</f>
        <v>45900</v>
      </c>
      <c r="C73" s="9">
        <f>A73*Inputs!$B$26*Inputs!$B$4*(1+Inputs!$B$28)^A73</f>
        <v>944.88069779264049</v>
      </c>
      <c r="D73" s="9">
        <f>MIN(C73,Inputs!$B$9)</f>
        <v>720</v>
      </c>
      <c r="E73" s="9">
        <f>MAX(C73-Inputs!$B$9,0)</f>
        <v>224.88069779264049</v>
      </c>
      <c r="F73" s="8">
        <f>D73*Inputs!$B$10+E73*Inputs!$B$12</f>
        <v>28904.178781122231</v>
      </c>
      <c r="G73" s="8">
        <f>A73*Inputs!$B$27</f>
        <v>14960</v>
      </c>
      <c r="H73" s="8">
        <f t="shared" si="6"/>
        <v>43864.178781122231</v>
      </c>
      <c r="I73" s="8">
        <f t="shared" si="8"/>
        <v>2035.5594348357699</v>
      </c>
      <c r="J73" s="8">
        <f>Inputs!$B$25-I73</f>
        <v>664.44056516423007</v>
      </c>
      <c r="K73" s="8">
        <f t="shared" si="7"/>
        <v>2035.8212188777688</v>
      </c>
      <c r="L73" s="2"/>
      <c r="M73" s="2"/>
      <c r="N73" s="2"/>
      <c r="O73" s="2"/>
    </row>
    <row r="74" spans="1:15">
      <c r="A74" s="2">
        <v>18</v>
      </c>
      <c r="B74" s="8">
        <f>A74*Inputs!$B$25</f>
        <v>48600</v>
      </c>
      <c r="C74" s="9">
        <f>A74*Inputs!$B$26*Inputs!$B$4*(1+Inputs!$B$28)^A74</f>
        <v>1012.9676892512279</v>
      </c>
      <c r="D74" s="9">
        <f>MIN(C74,Inputs!$B$9)</f>
        <v>720</v>
      </c>
      <c r="E74" s="9">
        <f>MAX(C74-Inputs!$B$9,0)</f>
        <v>292.96768925122785</v>
      </c>
      <c r="F74" s="8">
        <f>D74*Inputs!$B$10+E74*Inputs!$B$12</f>
        <v>30086.244605056039</v>
      </c>
      <c r="G74" s="8">
        <f>A74*Inputs!$B$27</f>
        <v>15840</v>
      </c>
      <c r="H74" s="8">
        <f t="shared" si="6"/>
        <v>45926.244605056039</v>
      </c>
      <c r="I74" s="8">
        <f t="shared" si="8"/>
        <v>2062.0658239338081</v>
      </c>
      <c r="J74" s="8">
        <f>Inputs!$B$25-I74</f>
        <v>637.93417606619187</v>
      </c>
      <c r="K74" s="8">
        <f t="shared" si="7"/>
        <v>2673.7553949439607</v>
      </c>
      <c r="L74" s="2"/>
      <c r="M74" s="2"/>
      <c r="N74" s="2"/>
      <c r="O74" s="2"/>
    </row>
    <row r="75" spans="1:15">
      <c r="A75" s="2">
        <v>19</v>
      </c>
      <c r="B75" s="8">
        <f>A75*Inputs!$B$25</f>
        <v>51300</v>
      </c>
      <c r="C75" s="9">
        <f>A75*Inputs!$B$26*Inputs!$B$4*(1+Inputs!$B$28)^A75</f>
        <v>1082.6092178872495</v>
      </c>
      <c r="D75" s="9">
        <f>MIN(C75,Inputs!$B$9)</f>
        <v>720</v>
      </c>
      <c r="E75" s="9">
        <f>MAX(C75-Inputs!$B$9,0)</f>
        <v>362.60921788724954</v>
      </c>
      <c r="F75" s="8">
        <f>D75*Inputs!$B$10+E75*Inputs!$B$12</f>
        <v>31295.298921653637</v>
      </c>
      <c r="G75" s="8">
        <f>A75*Inputs!$B$27</f>
        <v>16720</v>
      </c>
      <c r="H75" s="8">
        <f t="shared" si="6"/>
        <v>48015.298921653637</v>
      </c>
      <c r="I75" s="8">
        <f t="shared" si="8"/>
        <v>2089.0543165975978</v>
      </c>
      <c r="J75" s="8">
        <f>Inputs!$B$25-I75</f>
        <v>610.94568340240221</v>
      </c>
      <c r="K75" s="8">
        <f t="shared" si="7"/>
        <v>3284.7010783463629</v>
      </c>
      <c r="L75" s="2"/>
      <c r="M75" s="2"/>
      <c r="N75" s="2"/>
      <c r="O75" s="2"/>
    </row>
    <row r="76" spans="1:15">
      <c r="A76" s="2">
        <v>20</v>
      </c>
      <c r="B76" s="8">
        <f>A76*Inputs!$B$25</f>
        <v>54000</v>
      </c>
      <c r="C76" s="9">
        <f>A76*Inputs!$B$26*Inputs!$B$4*(1+Inputs!$B$28)^A76</f>
        <v>1153.8335085377266</v>
      </c>
      <c r="D76" s="9">
        <f>MIN(C76,Inputs!$B$9)</f>
        <v>720</v>
      </c>
      <c r="E76" s="9">
        <f>MAX(C76-Inputs!$B$9,0)</f>
        <v>433.83350853772663</v>
      </c>
      <c r="F76" s="8">
        <f>D76*Inputs!$B$10+E76*Inputs!$B$12</f>
        <v>32531.831745446641</v>
      </c>
      <c r="G76" s="8">
        <f>A76*Inputs!$B$27</f>
        <v>17600</v>
      </c>
      <c r="H76" s="8">
        <f t="shared" si="6"/>
        <v>50131.831745446645</v>
      </c>
      <c r="I76" s="8">
        <f t="shared" si="8"/>
        <v>2116.532823793008</v>
      </c>
      <c r="J76" s="8">
        <f>Inputs!$B$25-I76</f>
        <v>583.46717620699201</v>
      </c>
      <c r="K76" s="8">
        <f t="shared" si="7"/>
        <v>3868.1682545533549</v>
      </c>
      <c r="L76" s="2"/>
      <c r="M76" s="2"/>
      <c r="N76" s="2"/>
      <c r="O76" s="2"/>
    </row>
    <row r="77" spans="1:15">
      <c r="A77" s="2">
        <v>21</v>
      </c>
      <c r="B77" s="8">
        <f>A77*Inputs!$B$25</f>
        <v>56700</v>
      </c>
      <c r="C77" s="9">
        <f>A77*Inputs!$B$26*Inputs!$B$4*(1+Inputs!$B$28)^A77</f>
        <v>1226.6692487641703</v>
      </c>
      <c r="D77" s="9">
        <f>MIN(C77,Inputs!$B$9)</f>
        <v>720</v>
      </c>
      <c r="E77" s="9">
        <f>MAX(C77-Inputs!$B$9,0)</f>
        <v>506.66924876417033</v>
      </c>
      <c r="F77" s="8">
        <f>D77*Inputs!$B$10+E77*Inputs!$B$12</f>
        <v>33796.341124377956</v>
      </c>
      <c r="G77" s="8">
        <f>A77*Inputs!$B$27</f>
        <v>18480</v>
      </c>
      <c r="H77" s="8">
        <f t="shared" si="6"/>
        <v>52276.341124377956</v>
      </c>
      <c r="I77" s="8">
        <f t="shared" si="8"/>
        <v>2144.5093789313105</v>
      </c>
      <c r="J77" s="8">
        <f>Inputs!$B$25-I77</f>
        <v>555.49062106868951</v>
      </c>
      <c r="K77" s="8">
        <f t="shared" si="7"/>
        <v>4423.6588756220444</v>
      </c>
      <c r="L77" s="2"/>
      <c r="M77" s="2"/>
      <c r="N77" s="2"/>
      <c r="O77" s="2"/>
    </row>
    <row r="78" spans="1:15">
      <c r="A78" s="2">
        <v>22</v>
      </c>
      <c r="B78" s="8">
        <f>A78*Inputs!$B$25</f>
        <v>59400</v>
      </c>
      <c r="C78" s="9">
        <f>A78*Inputs!$B$26*Inputs!$B$4*(1+Inputs!$B$28)^A78</f>
        <v>1301.1455960105666</v>
      </c>
      <c r="D78" s="9">
        <f>MIN(C78,Inputs!$B$9)</f>
        <v>720</v>
      </c>
      <c r="E78" s="9">
        <f>MAX(C78-Inputs!$B$9,0)</f>
        <v>581.14559601056658</v>
      </c>
      <c r="F78" s="8">
        <f>D78*Inputs!$B$10+E78*Inputs!$B$12</f>
        <v>35089.333264072338</v>
      </c>
      <c r="G78" s="8">
        <f>A78*Inputs!$B$27</f>
        <v>19360</v>
      </c>
      <c r="H78" s="8">
        <f t="shared" si="6"/>
        <v>54449.333264072338</v>
      </c>
      <c r="I78" s="8">
        <f t="shared" si="8"/>
        <v>2172.9921396943828</v>
      </c>
      <c r="J78" s="8">
        <f>Inputs!$B$25-I78</f>
        <v>527.00786030561721</v>
      </c>
      <c r="K78" s="8">
        <f t="shared" si="7"/>
        <v>4950.6667359276616</v>
      </c>
      <c r="L78" s="2"/>
      <c r="M78" s="2"/>
      <c r="N78" s="2"/>
      <c r="O78" s="2"/>
    </row>
    <row r="79" spans="1:15">
      <c r="A79" s="2">
        <v>23</v>
      </c>
      <c r="B79" s="8">
        <f>A79*Inputs!$B$25</f>
        <v>62100</v>
      </c>
      <c r="C79" s="9">
        <f>A79*Inputs!$B$26*Inputs!$B$4*(1+Inputs!$B$28)^A79</f>
        <v>1377.292184868003</v>
      </c>
      <c r="D79" s="9">
        <f>MIN(C79,Inputs!$B$9)</f>
        <v>720</v>
      </c>
      <c r="E79" s="9">
        <f>MAX(C79-Inputs!$B$9,0)</f>
        <v>657.29218486800301</v>
      </c>
      <c r="F79" s="8">
        <f>D79*Inputs!$B$10+E79*Inputs!$B$12</f>
        <v>36411.322653958385</v>
      </c>
      <c r="G79" s="8">
        <f>A79*Inputs!$B$27</f>
        <v>20240</v>
      </c>
      <c r="H79" s="8">
        <f t="shared" si="6"/>
        <v>56651.322653958385</v>
      </c>
      <c r="I79" s="8">
        <f t="shared" si="8"/>
        <v>2201.9893898860464</v>
      </c>
      <c r="J79" s="8">
        <f>Inputs!$B$25-I79</f>
        <v>498.01061011395359</v>
      </c>
      <c r="K79" s="8">
        <f t="shared" si="7"/>
        <v>5448.6773460416152</v>
      </c>
      <c r="L79" s="2"/>
      <c r="M79" s="2"/>
      <c r="N79" s="2"/>
      <c r="O79" s="2"/>
    </row>
    <row r="80" spans="1:15">
      <c r="A80" s="2">
        <v>24</v>
      </c>
      <c r="B80" s="8">
        <f>A80*Inputs!$B$25</f>
        <v>64800</v>
      </c>
      <c r="C80" s="9">
        <f>A80*Inputs!$B$26*Inputs!$B$4*(1+Inputs!$B$28)^A80</f>
        <v>1455.1391344474989</v>
      </c>
      <c r="D80" s="9">
        <f>MIN(C80,Inputs!$B$9)</f>
        <v>720</v>
      </c>
      <c r="E80" s="9">
        <f>MAX(C80-Inputs!$B$9,0)</f>
        <v>735.13913444749892</v>
      </c>
      <c r="F80" s="8">
        <f>D80*Inputs!$B$10+E80*Inputs!$B$12</f>
        <v>37762.832195269075</v>
      </c>
      <c r="G80" s="8">
        <f>A80*Inputs!$B$27</f>
        <v>21120</v>
      </c>
      <c r="H80" s="8">
        <f t="shared" si="6"/>
        <v>58882.832195269075</v>
      </c>
      <c r="I80" s="8">
        <f t="shared" si="8"/>
        <v>2231.5095413106901</v>
      </c>
      <c r="J80" s="8">
        <f>Inputs!$B$25-I80</f>
        <v>468.49045868930989</v>
      </c>
      <c r="K80" s="8">
        <f t="shared" si="7"/>
        <v>5917.1678047309251</v>
      </c>
      <c r="L80" s="2"/>
      <c r="M80" s="2"/>
      <c r="N80" s="2"/>
      <c r="O80" s="2"/>
    </row>
    <row r="81" spans="1:15">
      <c r="A81" s="2">
        <v>25</v>
      </c>
      <c r="B81" s="8">
        <f>A81*Inputs!$B$25</f>
        <v>67500</v>
      </c>
      <c r="C81" s="9">
        <f>A81*Inputs!$B$26*Inputs!$B$4*(1+Inputs!$B$28)^A81</f>
        <v>1534.7170558625965</v>
      </c>
      <c r="D81" s="9">
        <f>MIN(C81,Inputs!$B$9)</f>
        <v>720</v>
      </c>
      <c r="E81" s="9">
        <f>MAX(C81-Inputs!$B$9,0)</f>
        <v>814.71705586259645</v>
      </c>
      <c r="F81" s="8">
        <f>D81*Inputs!$B$10+E81*Inputs!$B$12</f>
        <v>39144.393330947853</v>
      </c>
      <c r="G81" s="8">
        <f>A81*Inputs!$B$27</f>
        <v>22000</v>
      </c>
      <c r="H81" s="8">
        <f t="shared" si="6"/>
        <v>61144.393330947853</v>
      </c>
      <c r="I81" s="8">
        <f t="shared" si="8"/>
        <v>2261.5611356787776</v>
      </c>
      <c r="J81" s="8">
        <f>Inputs!$B$25-I81</f>
        <v>438.43886432122235</v>
      </c>
      <c r="K81" s="8">
        <f t="shared" si="7"/>
        <v>6355.6066690521475</v>
      </c>
      <c r="L81" s="2"/>
      <c r="M81" s="2"/>
      <c r="N81" s="2"/>
      <c r="O81" s="2"/>
    </row>
    <row r="82" spans="1:15">
      <c r="A82" s="2">
        <v>26</v>
      </c>
      <c r="B82" s="8">
        <f>A82*Inputs!$B$25</f>
        <v>70200</v>
      </c>
      <c r="C82" s="9">
        <f>A82*Inputs!$B$26*Inputs!$B$4*(1+Inputs!$B$28)^A82</f>
        <v>1616.0570598233144</v>
      </c>
      <c r="D82" s="9">
        <f>MIN(C82,Inputs!$B$9)</f>
        <v>720</v>
      </c>
      <c r="E82" s="9">
        <f>MAX(C82-Inputs!$B$9,0)</f>
        <v>896.05705982331438</v>
      </c>
      <c r="F82" s="8">
        <f>D82*Inputs!$B$10+E82*Inputs!$B$12</f>
        <v>40556.546177488097</v>
      </c>
      <c r="G82" s="8">
        <f>A82*Inputs!$B$27</f>
        <v>22880</v>
      </c>
      <c r="H82" s="8">
        <f t="shared" si="6"/>
        <v>63436.546177488097</v>
      </c>
      <c r="I82" s="8">
        <f t="shared" si="8"/>
        <v>2292.1528465402444</v>
      </c>
      <c r="J82" s="8">
        <f>Inputs!$B$25-I82</f>
        <v>407.84715345975565</v>
      </c>
      <c r="K82" s="8">
        <f t="shared" si="7"/>
        <v>6763.4538225119031</v>
      </c>
      <c r="L82" s="2"/>
      <c r="M82" s="2"/>
      <c r="N82" s="2"/>
      <c r="O82" s="2"/>
    </row>
    <row r="83" spans="1:15">
      <c r="A83" s="2">
        <v>27</v>
      </c>
      <c r="B83" s="8">
        <f>A83*Inputs!$B$25</f>
        <v>72900</v>
      </c>
      <c r="C83" s="9">
        <f>A83*Inputs!$B$26*Inputs!$B$4*(1+Inputs!$B$28)^A83</f>
        <v>1699.1907643430709</v>
      </c>
      <c r="D83" s="9">
        <f>MIN(C83,Inputs!$B$9)</f>
        <v>720</v>
      </c>
      <c r="E83" s="9">
        <f>MAX(C83-Inputs!$B$9,0)</f>
        <v>979.1907643430709</v>
      </c>
      <c r="F83" s="8">
        <f>D83*Inputs!$B$10+E83*Inputs!$B$12</f>
        <v>41999.839658733865</v>
      </c>
      <c r="G83" s="8">
        <f>A83*Inputs!$B$27</f>
        <v>23760</v>
      </c>
      <c r="H83" s="8">
        <f t="shared" si="6"/>
        <v>65759.839658733865</v>
      </c>
      <c r="I83" s="8">
        <f t="shared" si="8"/>
        <v>2323.2934812457679</v>
      </c>
      <c r="J83" s="8">
        <f>Inputs!$B$25-I83</f>
        <v>376.70651875423209</v>
      </c>
      <c r="K83" s="8">
        <f t="shared" si="7"/>
        <v>7140.1603412661352</v>
      </c>
      <c r="L83" s="2"/>
      <c r="M83" s="2"/>
      <c r="N83" s="2"/>
      <c r="O83" s="2"/>
    </row>
    <row r="84" spans="1:15">
      <c r="A84" s="2">
        <v>28</v>
      </c>
      <c r="B84" s="8">
        <f>A84*Inputs!$B$25</f>
        <v>75600</v>
      </c>
      <c r="C84" s="9">
        <f>A84*Inputs!$B$26*Inputs!$B$4*(1+Inputs!$B$28)^A84</f>
        <v>1784.1503025602246</v>
      </c>
      <c r="D84" s="9">
        <f>MIN(C84,Inputs!$B$9)</f>
        <v>720</v>
      </c>
      <c r="E84" s="9">
        <f>MAX(C84-Inputs!$B$9,0)</f>
        <v>1064.1503025602246</v>
      </c>
      <c r="F84" s="8">
        <f>D84*Inputs!$B$10+E84*Inputs!$B$12</f>
        <v>43474.831641670564</v>
      </c>
      <c r="G84" s="8">
        <f>A84*Inputs!$B$27</f>
        <v>24640</v>
      </c>
      <c r="H84" s="8">
        <f t="shared" si="6"/>
        <v>68114.831641670564</v>
      </c>
      <c r="I84" s="8">
        <f t="shared" si="8"/>
        <v>2354.9919829366991</v>
      </c>
      <c r="J84" s="8">
        <f>Inputs!$B$25-I84</f>
        <v>345.00801706330094</v>
      </c>
      <c r="K84" s="8">
        <f t="shared" si="7"/>
        <v>7485.1683583294362</v>
      </c>
      <c r="L84" s="2"/>
      <c r="M84" s="2"/>
      <c r="N84" s="2"/>
      <c r="O84" s="2"/>
    </row>
    <row r="85" spans="1:15">
      <c r="A85" s="2">
        <v>29</v>
      </c>
      <c r="B85" s="8">
        <f>A85*Inputs!$B$25</f>
        <v>78300</v>
      </c>
      <c r="C85" s="9">
        <f>A85*Inputs!$B$26*Inputs!$B$4*(1+Inputs!$B$28)^A85</f>
        <v>1870.9683306758782</v>
      </c>
      <c r="D85" s="9">
        <f>MIN(C85,Inputs!$B$9)</f>
        <v>720</v>
      </c>
      <c r="E85" s="9">
        <f>MAX(C85-Inputs!$B$9,0)</f>
        <v>1150.9683306758782</v>
      </c>
      <c r="F85" s="8">
        <f>D85*Inputs!$B$10+E85*Inputs!$B$12</f>
        <v>44982.089074233998</v>
      </c>
      <c r="G85" s="8">
        <f>A85*Inputs!$B$27</f>
        <v>25520</v>
      </c>
      <c r="H85" s="8">
        <f t="shared" si="6"/>
        <v>70502.089074233998</v>
      </c>
      <c r="I85" s="8">
        <f t="shared" si="8"/>
        <v>2387.2574325634341</v>
      </c>
      <c r="J85" s="8">
        <f>Inputs!$B$25-I85</f>
        <v>312.74256743656588</v>
      </c>
      <c r="K85" s="8">
        <f t="shared" si="7"/>
        <v>7797.910925766002</v>
      </c>
      <c r="L85" s="2"/>
      <c r="M85" s="2"/>
      <c r="N85" s="2"/>
      <c r="O85" s="2"/>
    </row>
    <row r="86" spans="1:15">
      <c r="A86" s="2">
        <v>30</v>
      </c>
      <c r="B86" s="8">
        <f>A86*Inputs!$B$25</f>
        <v>81000</v>
      </c>
      <c r="C86" s="9">
        <f>A86*Inputs!$B$26*Inputs!$B$4*(1+Inputs!$B$28)^A86</f>
        <v>1959.6780360096488</v>
      </c>
      <c r="D86" s="9">
        <f>MIN(C86,Inputs!$B$9)</f>
        <v>720</v>
      </c>
      <c r="E86" s="9">
        <f>MAX(C86-Inputs!$B$9,0)</f>
        <v>1239.6780360096488</v>
      </c>
      <c r="F86" s="8">
        <f>D86*Inputs!$B$10+E86*Inputs!$B$12</f>
        <v>46522.188125167515</v>
      </c>
      <c r="G86" s="8">
        <f>A86*Inputs!$B$27</f>
        <v>26400</v>
      </c>
      <c r="H86" s="8">
        <f t="shared" si="6"/>
        <v>72922.188125167508</v>
      </c>
      <c r="I86" s="8">
        <f t="shared" si="8"/>
        <v>2420.0990509335097</v>
      </c>
      <c r="J86" s="8">
        <f>Inputs!$B$25-I86</f>
        <v>279.90094906649028</v>
      </c>
      <c r="K86" s="8">
        <f t="shared" si="7"/>
        <v>8077.8118748324923</v>
      </c>
      <c r="L86" s="2"/>
      <c r="M86" s="2"/>
      <c r="N86" s="2"/>
      <c r="O86" s="2"/>
    </row>
    <row r="87" spans="1:15">
      <c r="A87" s="2"/>
      <c r="B87" s="8"/>
      <c r="C87" s="9"/>
      <c r="D87" s="9"/>
      <c r="E87" s="9"/>
      <c r="F87" s="8"/>
      <c r="G87" s="8"/>
      <c r="H87" s="8"/>
      <c r="I87" s="8"/>
      <c r="J87" s="8"/>
      <c r="K87" s="8"/>
      <c r="L87" s="2"/>
      <c r="M87" s="2"/>
      <c r="N87" s="2"/>
      <c r="O87" s="2"/>
    </row>
    <row r="88" spans="1:15">
      <c r="A88" s="2"/>
      <c r="B88" s="8"/>
      <c r="C88" s="9"/>
      <c r="D88" s="9"/>
      <c r="E88" s="9"/>
      <c r="F88" s="8"/>
      <c r="G88" s="8"/>
      <c r="H88" s="8"/>
      <c r="I88" s="8"/>
      <c r="J88" s="8"/>
      <c r="K88" s="8"/>
      <c r="L88" s="2"/>
      <c r="M88" s="2"/>
      <c r="N88" s="2"/>
      <c r="O88" s="2"/>
    </row>
    <row r="89" spans="1:15">
      <c r="A89" s="2"/>
      <c r="B89" s="8"/>
      <c r="C89" s="9"/>
      <c r="D89" s="9"/>
      <c r="E89" s="9"/>
      <c r="F89" s="8"/>
      <c r="G89" s="8"/>
      <c r="H89" s="8"/>
      <c r="I89" s="8"/>
      <c r="J89" s="8"/>
      <c r="K89" s="8"/>
      <c r="L89" s="2"/>
      <c r="M89" s="2"/>
      <c r="N89" s="2"/>
      <c r="O89" s="2"/>
    </row>
    <row r="90" spans="1:15">
      <c r="A90" s="2"/>
      <c r="B90" s="8"/>
      <c r="C90" s="9"/>
      <c r="D90" s="9"/>
      <c r="E90" s="9"/>
      <c r="F90" s="8"/>
      <c r="G90" s="8"/>
      <c r="H90" s="8"/>
      <c r="I90" s="8"/>
      <c r="J90" s="8"/>
      <c r="K90" s="8"/>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5">
    <mergeCell ref="A1:K1"/>
    <mergeCell ref="A2:K2"/>
    <mergeCell ref="A4:K4"/>
    <mergeCell ref="A29:K29"/>
    <mergeCell ref="A54:K5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0"/>
  <sheetViews>
    <sheetView workbookViewId="0">
      <selection activeCell="E28" sqref="E28"/>
    </sheetView>
  </sheetViews>
  <sheetFormatPr baseColWidth="10" defaultColWidth="8.83203125" defaultRowHeight="15"/>
  <cols>
    <col min="1" max="1" width="26" customWidth="1"/>
    <col min="2" max="5" width="16" customWidth="1"/>
    <col min="6" max="6" width="14" customWidth="1"/>
  </cols>
  <sheetData>
    <row r="1" spans="1:15" ht="21">
      <c r="A1" s="15" t="s">
        <v>93</v>
      </c>
      <c r="B1" s="15"/>
      <c r="C1" s="15"/>
      <c r="D1" s="15"/>
      <c r="E1" s="15"/>
      <c r="F1" s="15"/>
      <c r="G1" s="2"/>
      <c r="H1" s="2"/>
      <c r="I1" s="2"/>
      <c r="J1" s="2"/>
      <c r="K1" s="2"/>
      <c r="L1" s="2"/>
      <c r="M1" s="2"/>
      <c r="N1" s="2"/>
      <c r="O1" s="2"/>
    </row>
    <row r="2" spans="1:15">
      <c r="A2" s="16" t="s">
        <v>94</v>
      </c>
      <c r="B2" s="16"/>
      <c r="C2" s="16"/>
      <c r="D2" s="16"/>
      <c r="E2" s="16"/>
      <c r="F2" s="16"/>
      <c r="G2" s="2"/>
      <c r="H2" s="2"/>
      <c r="I2" s="2"/>
      <c r="J2" s="2"/>
      <c r="K2" s="2"/>
      <c r="L2" s="2"/>
      <c r="M2" s="2"/>
      <c r="N2" s="2"/>
      <c r="O2" s="2"/>
    </row>
    <row r="3" spans="1:15">
      <c r="A3" s="2"/>
      <c r="B3" s="2"/>
      <c r="C3" s="2"/>
      <c r="D3" s="2"/>
      <c r="E3" s="2"/>
      <c r="F3" s="2"/>
      <c r="G3" s="2"/>
      <c r="H3" s="2"/>
      <c r="I3" s="2"/>
      <c r="J3" s="2"/>
      <c r="K3" s="2"/>
      <c r="L3" s="2"/>
      <c r="M3" s="2"/>
      <c r="N3" s="2"/>
      <c r="O3" s="2"/>
    </row>
    <row r="4" spans="1:15" ht="16">
      <c r="A4" s="1" t="s">
        <v>95</v>
      </c>
      <c r="B4" s="1" t="s">
        <v>75</v>
      </c>
      <c r="C4" s="1" t="s">
        <v>90</v>
      </c>
      <c r="D4" s="1" t="s">
        <v>92</v>
      </c>
      <c r="E4" s="1" t="s">
        <v>96</v>
      </c>
      <c r="F4" s="1" t="s">
        <v>3</v>
      </c>
      <c r="G4" s="2"/>
      <c r="H4" s="2"/>
      <c r="I4" s="2"/>
      <c r="J4" s="2"/>
      <c r="K4" s="2"/>
      <c r="L4" s="2"/>
      <c r="M4" s="2"/>
      <c r="N4" s="2"/>
      <c r="O4" s="2"/>
    </row>
    <row r="5" spans="1:15" ht="16">
      <c r="A5" s="2" t="s">
        <v>97</v>
      </c>
      <c r="B5" s="10">
        <f>Solver!$B$5</f>
        <v>10</v>
      </c>
      <c r="C5" s="10">
        <f>Solver!$B$6</f>
        <v>20</v>
      </c>
      <c r="D5" s="10">
        <f>Solver!$B$7</f>
        <v>30</v>
      </c>
      <c r="E5" s="10">
        <f t="shared" ref="E5:E11" si="0">SUM(B5:D5)</f>
        <v>60</v>
      </c>
      <c r="F5" s="2" t="s">
        <v>18</v>
      </c>
      <c r="G5" s="2"/>
      <c r="H5" s="2"/>
      <c r="I5" s="2"/>
      <c r="J5" s="2"/>
      <c r="K5" s="2"/>
      <c r="L5" s="2"/>
      <c r="M5" s="2"/>
      <c r="N5" s="2"/>
      <c r="O5" s="2"/>
    </row>
    <row r="6" spans="1:15" ht="16">
      <c r="A6" s="2" t="s">
        <v>98</v>
      </c>
      <c r="B6" s="10">
        <f>Solver!$B$5*Inputs!$B$16*Inputs!$B$4*(1+Inputs!$B$18)^Solver!$B$5</f>
        <v>2334.3682140900019</v>
      </c>
      <c r="C6" s="10">
        <f>Solver!$B$6*Inputs!$B$21*Inputs!$B$4*(1+Inputs!$B$23)^Solver!$B$6</f>
        <v>983.16986417423732</v>
      </c>
      <c r="D6" s="10">
        <f>Solver!$B$7*Inputs!$B$26*Inputs!$B$4*(1+Inputs!$B$28)^Solver!$B$7</f>
        <v>1959.6780360096488</v>
      </c>
      <c r="E6" s="10">
        <f t="shared" si="0"/>
        <v>5277.2161142738878</v>
      </c>
      <c r="F6" s="2" t="s">
        <v>99</v>
      </c>
      <c r="G6" s="2"/>
      <c r="H6" s="2"/>
      <c r="I6" s="2"/>
      <c r="J6" s="2"/>
      <c r="K6" s="2"/>
      <c r="L6" s="2"/>
      <c r="M6" s="2"/>
      <c r="N6" s="2"/>
      <c r="O6" s="2"/>
    </row>
    <row r="7" spans="1:15" ht="16">
      <c r="A7" s="2" t="s">
        <v>100</v>
      </c>
      <c r="B7" s="11">
        <f>Solver!$B$5*Inputs!$B$15</f>
        <v>88000</v>
      </c>
      <c r="C7" s="11">
        <f>Solver!$B$6*Inputs!$B$20</f>
        <v>41880</v>
      </c>
      <c r="D7" s="11">
        <f>Solver!$B$7*Inputs!$B$25</f>
        <v>81000</v>
      </c>
      <c r="E7" s="11">
        <f t="shared" si="0"/>
        <v>210880</v>
      </c>
      <c r="F7" s="2" t="s">
        <v>101</v>
      </c>
      <c r="G7" s="2"/>
      <c r="H7" s="2"/>
      <c r="I7" s="2"/>
      <c r="J7" s="2"/>
      <c r="K7" s="2"/>
      <c r="L7" s="2"/>
      <c r="M7" s="2"/>
      <c r="N7" s="2"/>
      <c r="O7" s="2"/>
    </row>
    <row r="8" spans="1:15" ht="16">
      <c r="A8" s="2" t="s">
        <v>102</v>
      </c>
      <c r="B8" s="11">
        <f>Solver!$B$5*Inputs!$B$17</f>
        <v>8800</v>
      </c>
      <c r="C8" s="11">
        <f>Solver!$B$6*Inputs!$B$22</f>
        <v>8800</v>
      </c>
      <c r="D8" s="11">
        <f>Solver!$B$7*Inputs!$B$27</f>
        <v>26400</v>
      </c>
      <c r="E8" s="11">
        <f t="shared" si="0"/>
        <v>44000</v>
      </c>
      <c r="F8" s="2" t="s">
        <v>101</v>
      </c>
      <c r="G8" s="2"/>
      <c r="H8" s="2"/>
      <c r="I8" s="2"/>
      <c r="J8" s="2"/>
      <c r="K8" s="2"/>
      <c r="L8" s="2"/>
      <c r="M8" s="2"/>
      <c r="N8" s="2"/>
      <c r="O8" s="2"/>
    </row>
    <row r="9" spans="1:15" ht="16">
      <c r="A9" s="2" t="s">
        <v>103</v>
      </c>
      <c r="B9" s="11">
        <f>B6*'Farm Model'!$B$19</f>
        <v>46056.581198400811</v>
      </c>
      <c r="C9" s="11">
        <f>C6*'Farm Model'!$B$19</f>
        <v>19397.7292904553</v>
      </c>
      <c r="D9" s="11">
        <f>D6*'Farm Model'!$B$19</f>
        <v>38664.024828398891</v>
      </c>
      <c r="E9" s="11">
        <f t="shared" si="0"/>
        <v>104118.335317255</v>
      </c>
      <c r="F9" s="2" t="s">
        <v>101</v>
      </c>
      <c r="G9" s="2"/>
      <c r="H9" s="2"/>
      <c r="I9" s="2"/>
      <c r="J9" s="2"/>
      <c r="K9" s="2"/>
      <c r="L9" s="2"/>
      <c r="M9" s="2"/>
      <c r="N9" s="2"/>
      <c r="O9" s="2"/>
    </row>
    <row r="10" spans="1:15" ht="16">
      <c r="A10" s="2" t="s">
        <v>104</v>
      </c>
      <c r="B10" s="11">
        <f>B8+B9</f>
        <v>54856.581198400811</v>
      </c>
      <c r="C10" s="11">
        <f>C8+C9</f>
        <v>28197.7292904553</v>
      </c>
      <c r="D10" s="11">
        <f>D8+D9</f>
        <v>65064.024828398891</v>
      </c>
      <c r="E10" s="11">
        <f t="shared" si="0"/>
        <v>148118.335317255</v>
      </c>
      <c r="F10" s="2" t="s">
        <v>101</v>
      </c>
      <c r="G10" s="2"/>
      <c r="H10" s="2"/>
      <c r="I10" s="2"/>
      <c r="J10" s="2"/>
      <c r="K10" s="2"/>
      <c r="L10" s="2"/>
      <c r="M10" s="2"/>
      <c r="N10" s="2"/>
      <c r="O10" s="2"/>
    </row>
    <row r="11" spans="1:15" ht="16">
      <c r="A11" s="2" t="s">
        <v>105</v>
      </c>
      <c r="B11" s="11">
        <f>B7-B10</f>
        <v>33143.418801599189</v>
      </c>
      <c r="C11" s="11">
        <f>C7-C10</f>
        <v>13682.2707095447</v>
      </c>
      <c r="D11" s="11">
        <f>D7-D10</f>
        <v>15935.975171601109</v>
      </c>
      <c r="E11" s="11">
        <f t="shared" si="0"/>
        <v>62761.664682745002</v>
      </c>
      <c r="F11" s="2" t="s">
        <v>101</v>
      </c>
      <c r="G11" s="2"/>
      <c r="H11" s="2"/>
      <c r="I11" s="2"/>
      <c r="J11" s="2"/>
      <c r="K11" s="2"/>
      <c r="L11" s="2"/>
      <c r="M11" s="2"/>
      <c r="N11" s="2"/>
      <c r="O11" s="2"/>
    </row>
    <row r="12" spans="1:15">
      <c r="A12" s="2"/>
      <c r="B12" s="10"/>
      <c r="C12" s="10"/>
      <c r="D12" s="10"/>
      <c r="E12" s="10"/>
      <c r="F12" s="2"/>
      <c r="G12" s="2"/>
      <c r="H12" s="2"/>
      <c r="I12" s="2"/>
      <c r="J12" s="2"/>
      <c r="K12" s="2"/>
      <c r="L12" s="2"/>
      <c r="M12" s="2"/>
      <c r="N12" s="2"/>
      <c r="O12" s="2"/>
    </row>
    <row r="13" spans="1:15">
      <c r="A13" s="2"/>
      <c r="B13" s="10"/>
      <c r="C13" s="10"/>
      <c r="D13" s="10"/>
      <c r="E13" s="10"/>
      <c r="F13" s="2"/>
      <c r="G13" s="2"/>
      <c r="H13" s="2"/>
      <c r="I13" s="2"/>
      <c r="J13" s="2"/>
      <c r="K13" s="2"/>
      <c r="L13" s="2"/>
      <c r="M13" s="2"/>
      <c r="N13" s="2"/>
      <c r="O13" s="2"/>
    </row>
    <row r="14" spans="1:15">
      <c r="A14" s="21" t="s">
        <v>106</v>
      </c>
      <c r="B14" s="24"/>
      <c r="C14" s="24"/>
      <c r="D14" s="24"/>
      <c r="E14" s="24"/>
      <c r="F14" s="21"/>
      <c r="G14" s="2"/>
      <c r="H14" s="2"/>
      <c r="I14" s="2"/>
      <c r="J14" s="2"/>
      <c r="K14" s="2"/>
      <c r="L14" s="2"/>
      <c r="M14" s="2"/>
      <c r="N14" s="2"/>
      <c r="O14" s="2"/>
    </row>
    <row r="15" spans="1:15" ht="16">
      <c r="A15" s="2" t="s">
        <v>107</v>
      </c>
      <c r="B15" s="12">
        <f>MIN('Farm Model'!$E$6,Inputs!$B$9)</f>
        <v>720</v>
      </c>
      <c r="C15" s="10" t="s">
        <v>99</v>
      </c>
      <c r="D15" s="10"/>
      <c r="E15" s="10"/>
      <c r="F15" s="2"/>
      <c r="G15" s="2"/>
      <c r="H15" s="2"/>
      <c r="I15" s="2"/>
      <c r="J15" s="2"/>
      <c r="K15" s="2"/>
      <c r="L15" s="2"/>
      <c r="M15" s="2"/>
      <c r="N15" s="2"/>
      <c r="O15" s="2"/>
    </row>
    <row r="16" spans="1:15" ht="16">
      <c r="A16" s="2" t="s">
        <v>108</v>
      </c>
      <c r="B16" s="12">
        <f>MAX('Farm Model'!$E$6-Inputs!$B$9,0)</f>
        <v>4557.2161142738878</v>
      </c>
      <c r="C16" s="10" t="s">
        <v>99</v>
      </c>
      <c r="D16" s="10"/>
      <c r="E16" s="10"/>
      <c r="F16" s="2"/>
      <c r="G16" s="2"/>
      <c r="H16" s="2"/>
      <c r="I16" s="2"/>
      <c r="J16" s="2"/>
      <c r="K16" s="2"/>
      <c r="L16" s="2"/>
      <c r="M16" s="2"/>
      <c r="N16" s="2"/>
      <c r="O16" s="2"/>
    </row>
    <row r="17" spans="1:15" ht="16">
      <c r="A17" s="2" t="s">
        <v>109</v>
      </c>
      <c r="B17" s="12">
        <f>IF(B16=0,0,B16/Inputs!$B$11)</f>
        <v>3.1647334126901998</v>
      </c>
      <c r="C17" s="10" t="s">
        <v>35</v>
      </c>
      <c r="D17" s="10"/>
      <c r="E17" s="10"/>
      <c r="F17" s="2"/>
      <c r="G17" s="2"/>
      <c r="H17" s="2"/>
      <c r="I17" s="2"/>
      <c r="J17" s="2"/>
      <c r="K17" s="2"/>
      <c r="L17" s="2"/>
      <c r="M17" s="2"/>
      <c r="N17" s="2"/>
      <c r="O17" s="2"/>
    </row>
    <row r="18" spans="1:15" ht="16">
      <c r="A18" s="2" t="s">
        <v>110</v>
      </c>
      <c r="B18" s="11">
        <f>B15*Inputs!$B$10+B16*Inputs!$B$12</f>
        <v>104118.335317255</v>
      </c>
      <c r="C18" s="10" t="s">
        <v>101</v>
      </c>
      <c r="D18" s="10"/>
      <c r="E18" s="10"/>
      <c r="F18" s="2"/>
      <c r="G18" s="2"/>
      <c r="H18" s="2"/>
      <c r="I18" s="2"/>
      <c r="J18" s="2"/>
      <c r="K18" s="2"/>
      <c r="L18" s="2"/>
      <c r="M18" s="2"/>
      <c r="N18" s="2"/>
      <c r="O18" s="2"/>
    </row>
    <row r="19" spans="1:15" ht="16">
      <c r="A19" s="2" t="s">
        <v>111</v>
      </c>
      <c r="B19" s="11">
        <f>IF('Farm Model'!$E$6=0,0,B18/'Farm Model'!$E$6)</f>
        <v>19.729784239010844</v>
      </c>
      <c r="C19" s="10" t="s">
        <v>112</v>
      </c>
      <c r="D19" s="10"/>
      <c r="E19" s="10"/>
      <c r="F19" s="2"/>
      <c r="G19" s="2"/>
      <c r="H19" s="2"/>
      <c r="I19" s="2"/>
      <c r="J19" s="2"/>
      <c r="K19" s="2"/>
      <c r="L19" s="2"/>
      <c r="M19" s="2"/>
      <c r="N19" s="2"/>
      <c r="O19" s="2"/>
    </row>
    <row r="20" spans="1:15" ht="16">
      <c r="A20" s="2" t="s">
        <v>113</v>
      </c>
      <c r="B20" s="11">
        <f>B18+'Farm Model'!$E$8</f>
        <v>148118.335317255</v>
      </c>
      <c r="C20" s="10" t="s">
        <v>101</v>
      </c>
      <c r="D20" s="10"/>
      <c r="E20" s="10"/>
      <c r="F20" s="2"/>
      <c r="G20" s="2"/>
      <c r="H20" s="2"/>
      <c r="I20" s="2"/>
      <c r="J20" s="2"/>
      <c r="K20" s="2"/>
      <c r="L20" s="2"/>
      <c r="M20" s="2"/>
      <c r="N20" s="2"/>
      <c r="O20" s="2"/>
    </row>
    <row r="21" spans="1:15" ht="16">
      <c r="A21" s="2" t="s">
        <v>20</v>
      </c>
      <c r="B21" s="11">
        <f>Inputs!$B$8</f>
        <v>20000</v>
      </c>
      <c r="C21" s="10" t="s">
        <v>101</v>
      </c>
      <c r="D21" s="10"/>
      <c r="E21" s="10"/>
      <c r="F21" s="2"/>
      <c r="G21" s="2"/>
      <c r="H21" s="2"/>
      <c r="I21" s="2"/>
      <c r="J21" s="2"/>
      <c r="K21" s="2"/>
      <c r="L21" s="2"/>
      <c r="M21" s="2"/>
      <c r="N21" s="2"/>
      <c r="O21" s="2"/>
    </row>
    <row r="22" spans="1:15" ht="16">
      <c r="A22" s="2" t="s">
        <v>114</v>
      </c>
      <c r="B22" s="11">
        <f>B20+B21</f>
        <v>168118.335317255</v>
      </c>
      <c r="C22" s="10" t="s">
        <v>101</v>
      </c>
      <c r="D22" s="10"/>
      <c r="E22" s="10"/>
      <c r="F22" s="2"/>
      <c r="G22" s="2"/>
      <c r="H22" s="2"/>
      <c r="I22" s="2"/>
      <c r="J22" s="2"/>
      <c r="K22" s="2"/>
      <c r="L22" s="2"/>
      <c r="M22" s="2"/>
      <c r="N22" s="2"/>
      <c r="O22" s="2"/>
    </row>
    <row r="23" spans="1:15" ht="16">
      <c r="A23" s="2" t="s">
        <v>115</v>
      </c>
      <c r="B23" s="11">
        <f>'Farm Model'!$E$7-B22</f>
        <v>42761.664682745002</v>
      </c>
      <c r="C23" s="10" t="s">
        <v>101</v>
      </c>
      <c r="D23" s="10"/>
      <c r="E23" s="10"/>
      <c r="F23" s="2"/>
      <c r="G23" s="2"/>
      <c r="H23" s="2"/>
      <c r="I23" s="2"/>
      <c r="J23" s="2"/>
      <c r="K23" s="2"/>
      <c r="L23" s="2"/>
      <c r="M23" s="2"/>
      <c r="N23" s="2"/>
      <c r="O23" s="2"/>
    </row>
    <row r="24" spans="1:15" ht="16">
      <c r="A24" s="2" t="s">
        <v>116</v>
      </c>
      <c r="B24" s="12">
        <f>'Farm Model'!$E$5*Inputs!$B$6</f>
        <v>1.2</v>
      </c>
      <c r="C24" s="10" t="s">
        <v>11</v>
      </c>
      <c r="D24" s="10"/>
      <c r="E24" s="10"/>
      <c r="F24" s="2"/>
      <c r="G24" s="2"/>
      <c r="H24" s="2"/>
      <c r="I24" s="2"/>
      <c r="J24" s="2"/>
      <c r="K24" s="2"/>
      <c r="L24" s="2"/>
      <c r="M24" s="2"/>
      <c r="N24" s="2"/>
      <c r="O24" s="2"/>
    </row>
    <row r="25" spans="1:15">
      <c r="A25" s="2"/>
      <c r="B25" s="2"/>
      <c r="C25" s="2"/>
      <c r="D25" s="2"/>
      <c r="E25" s="2"/>
      <c r="F25" s="2"/>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2"/>
      <c r="B27" s="2"/>
      <c r="C27" s="2"/>
      <c r="D27" s="2"/>
      <c r="E27" s="2"/>
      <c r="F27" s="2"/>
      <c r="G27" s="2"/>
      <c r="H27" s="2"/>
      <c r="I27" s="2"/>
      <c r="J27" s="2"/>
      <c r="K27" s="2"/>
      <c r="L27" s="2"/>
      <c r="M27" s="2"/>
      <c r="N27" s="2"/>
      <c r="O27" s="2"/>
    </row>
    <row r="28" spans="1:15">
      <c r="A28" s="2"/>
      <c r="B28" s="2"/>
      <c r="C28" s="2"/>
      <c r="D28" s="2"/>
      <c r="E28" s="2"/>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3">
    <mergeCell ref="A1:F1"/>
    <mergeCell ref="A2:F2"/>
    <mergeCell ref="A14:F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00"/>
  <sheetViews>
    <sheetView workbookViewId="0">
      <selection activeCell="B8" sqref="B8"/>
    </sheetView>
  </sheetViews>
  <sheetFormatPr baseColWidth="10" defaultColWidth="8.83203125" defaultRowHeight="15"/>
  <cols>
    <col min="1" max="1" width="24" customWidth="1"/>
    <col min="2" max="5" width="18" customWidth="1"/>
    <col min="6" max="6" width="28" customWidth="1"/>
  </cols>
  <sheetData>
    <row r="1" spans="1:15" ht="21">
      <c r="A1" s="15" t="s">
        <v>117</v>
      </c>
      <c r="B1" s="15"/>
      <c r="C1" s="15"/>
      <c r="D1" s="15"/>
      <c r="E1" s="15"/>
      <c r="F1" s="15"/>
      <c r="G1" s="2"/>
      <c r="H1" s="2"/>
      <c r="I1" s="2"/>
      <c r="J1" s="2"/>
      <c r="K1" s="2"/>
      <c r="L1" s="2"/>
      <c r="M1" s="2"/>
      <c r="N1" s="2"/>
      <c r="O1" s="2"/>
    </row>
    <row r="2" spans="1:15">
      <c r="A2" s="16" t="s">
        <v>118</v>
      </c>
      <c r="B2" s="16"/>
      <c r="C2" s="16"/>
      <c r="D2" s="16"/>
      <c r="E2" s="16"/>
      <c r="F2" s="16"/>
      <c r="G2" s="2"/>
      <c r="H2" s="2"/>
      <c r="I2" s="2"/>
      <c r="J2" s="2"/>
      <c r="K2" s="2"/>
      <c r="L2" s="2"/>
      <c r="M2" s="2"/>
      <c r="N2" s="2"/>
      <c r="O2" s="2"/>
    </row>
    <row r="3" spans="1:15">
      <c r="A3" s="2"/>
      <c r="B3" s="2"/>
      <c r="C3" s="2"/>
      <c r="D3" s="2"/>
      <c r="E3" s="2"/>
      <c r="F3" s="2"/>
      <c r="G3" s="2"/>
      <c r="H3" s="2"/>
      <c r="I3" s="2"/>
      <c r="J3" s="2"/>
      <c r="K3" s="2"/>
      <c r="L3" s="2"/>
      <c r="M3" s="2"/>
      <c r="N3" s="2"/>
      <c r="O3" s="2"/>
    </row>
    <row r="4" spans="1:15" ht="16">
      <c r="A4" s="1" t="s">
        <v>119</v>
      </c>
      <c r="B4" s="1" t="s">
        <v>120</v>
      </c>
      <c r="C4" s="1" t="s">
        <v>5</v>
      </c>
      <c r="D4" s="2"/>
      <c r="E4" s="2"/>
      <c r="F4" s="2"/>
      <c r="G4" s="2"/>
      <c r="H4" s="2"/>
      <c r="I4" s="2"/>
      <c r="J4" s="2"/>
      <c r="K4" s="2"/>
      <c r="L4" s="2"/>
      <c r="M4" s="2"/>
      <c r="N4" s="2"/>
      <c r="O4" s="2"/>
    </row>
    <row r="5" spans="1:15" ht="16">
      <c r="A5" s="2" t="s">
        <v>121</v>
      </c>
      <c r="B5" s="13">
        <v>10</v>
      </c>
      <c r="C5" s="2" t="s">
        <v>122</v>
      </c>
      <c r="D5" s="2"/>
      <c r="E5" s="2"/>
      <c r="F5" s="2"/>
      <c r="G5" s="2"/>
      <c r="H5" s="2"/>
      <c r="I5" s="2"/>
      <c r="J5" s="2"/>
      <c r="K5" s="2"/>
      <c r="L5" s="2"/>
      <c r="M5" s="2"/>
      <c r="N5" s="2"/>
      <c r="O5" s="2"/>
    </row>
    <row r="6" spans="1:15" ht="16">
      <c r="A6" s="2" t="s">
        <v>123</v>
      </c>
      <c r="B6" s="13">
        <v>20</v>
      </c>
      <c r="C6" s="2" t="s">
        <v>124</v>
      </c>
      <c r="D6" s="2"/>
      <c r="E6" s="2"/>
      <c r="F6" s="2"/>
      <c r="G6" s="2"/>
      <c r="H6" s="2"/>
      <c r="I6" s="2"/>
      <c r="J6" s="2"/>
      <c r="K6" s="2"/>
      <c r="L6" s="2"/>
      <c r="M6" s="2"/>
      <c r="N6" s="2"/>
      <c r="O6" s="2"/>
    </row>
    <row r="7" spans="1:15" ht="16">
      <c r="A7" s="2" t="s">
        <v>125</v>
      </c>
      <c r="B7" s="13">
        <v>30</v>
      </c>
      <c r="C7" s="2" t="s">
        <v>126</v>
      </c>
      <c r="D7" s="2"/>
      <c r="E7" s="2"/>
      <c r="F7" s="2"/>
      <c r="G7" s="2"/>
      <c r="H7" s="2"/>
      <c r="I7" s="2"/>
      <c r="J7" s="2"/>
      <c r="K7" s="2"/>
      <c r="L7" s="2"/>
      <c r="M7" s="2"/>
      <c r="N7" s="2"/>
      <c r="O7" s="2"/>
    </row>
    <row r="8" spans="1:15">
      <c r="A8" s="2"/>
      <c r="B8" s="2"/>
      <c r="C8" s="2"/>
      <c r="D8" s="2"/>
      <c r="E8" s="2"/>
      <c r="F8" s="2"/>
      <c r="G8" s="2"/>
      <c r="H8" s="2"/>
      <c r="I8" s="2"/>
      <c r="J8" s="2"/>
      <c r="K8" s="2"/>
      <c r="L8" s="2"/>
      <c r="M8" s="2"/>
      <c r="N8" s="2"/>
      <c r="O8" s="2"/>
    </row>
    <row r="9" spans="1:15" ht="16">
      <c r="A9" s="1" t="s">
        <v>127</v>
      </c>
      <c r="B9" s="1" t="s">
        <v>2</v>
      </c>
      <c r="C9" s="2"/>
      <c r="D9" s="2"/>
      <c r="E9" s="2"/>
      <c r="F9" s="2"/>
      <c r="G9" s="2"/>
      <c r="H9" s="2"/>
      <c r="I9" s="2"/>
      <c r="J9" s="2"/>
      <c r="K9" s="2"/>
      <c r="L9" s="2"/>
      <c r="M9" s="2"/>
      <c r="N9" s="2"/>
      <c r="O9" s="2"/>
    </row>
    <row r="10" spans="1:15" ht="16">
      <c r="A10" s="2" t="s">
        <v>128</v>
      </c>
      <c r="B10" s="11">
        <f>'Farm Model'!$B$23</f>
        <v>42761.664682745002</v>
      </c>
      <c r="C10" s="2"/>
      <c r="D10" s="2"/>
      <c r="E10" s="2"/>
      <c r="F10" s="2"/>
      <c r="G10" s="2"/>
      <c r="H10" s="2"/>
      <c r="I10" s="2"/>
      <c r="J10" s="2"/>
      <c r="K10" s="2"/>
      <c r="L10" s="2"/>
      <c r="M10" s="2"/>
      <c r="N10" s="2"/>
      <c r="O10" s="2"/>
    </row>
    <row r="11" spans="1:15">
      <c r="A11" s="2"/>
      <c r="B11" s="2"/>
      <c r="C11" s="2"/>
      <c r="D11" s="2"/>
      <c r="E11" s="2"/>
      <c r="F11" s="2"/>
      <c r="G11" s="2"/>
      <c r="H11" s="2"/>
      <c r="I11" s="2"/>
      <c r="J11" s="2"/>
      <c r="K11" s="2"/>
      <c r="L11" s="2"/>
      <c r="M11" s="2"/>
      <c r="N11" s="2"/>
      <c r="O11" s="2"/>
    </row>
    <row r="12" spans="1:15" ht="16">
      <c r="A12" s="1" t="s">
        <v>129</v>
      </c>
      <c r="B12" s="1" t="s">
        <v>130</v>
      </c>
      <c r="C12" s="1" t="s">
        <v>131</v>
      </c>
      <c r="D12" s="1" t="s">
        <v>132</v>
      </c>
      <c r="E12" s="1" t="s">
        <v>133</v>
      </c>
      <c r="F12" s="2"/>
      <c r="G12" s="2"/>
      <c r="H12" s="2"/>
      <c r="I12" s="2"/>
      <c r="J12" s="2"/>
      <c r="K12" s="2"/>
      <c r="L12" s="2"/>
      <c r="M12" s="2"/>
      <c r="N12" s="2"/>
      <c r="O12" s="2"/>
    </row>
    <row r="13" spans="1:15" ht="16">
      <c r="A13" s="2" t="s">
        <v>134</v>
      </c>
      <c r="B13" s="10">
        <f>Solver!$B$5</f>
        <v>10</v>
      </c>
      <c r="C13" s="10" t="s">
        <v>135</v>
      </c>
      <c r="D13" s="10">
        <f>Inputs!$B$14</f>
        <v>20</v>
      </c>
      <c r="E13" s="10" t="str">
        <f t="shared" ref="E13:E18" si="0">IF(B13&gt;D13+0.000001,"VIOLATED",IF(ABS(B13-D13)&lt;0.000001,"BINDING","SLACK"))</f>
        <v>SLACK</v>
      </c>
      <c r="F13" s="2"/>
      <c r="G13" s="2"/>
      <c r="H13" s="2"/>
      <c r="I13" s="2"/>
      <c r="J13" s="2"/>
      <c r="K13" s="2"/>
      <c r="L13" s="2"/>
      <c r="M13" s="2"/>
      <c r="N13" s="2"/>
      <c r="O13" s="2"/>
    </row>
    <row r="14" spans="1:15" ht="16">
      <c r="A14" s="2" t="s">
        <v>136</v>
      </c>
      <c r="B14" s="10">
        <f>Solver!$B$6</f>
        <v>20</v>
      </c>
      <c r="C14" s="10" t="s">
        <v>135</v>
      </c>
      <c r="D14" s="10">
        <f>Inputs!$B$19</f>
        <v>20</v>
      </c>
      <c r="E14" s="10" t="str">
        <f t="shared" si="0"/>
        <v>BINDING</v>
      </c>
      <c r="F14" s="2"/>
      <c r="G14" s="2"/>
      <c r="H14" s="2"/>
      <c r="I14" s="2"/>
      <c r="J14" s="2"/>
      <c r="K14" s="2"/>
      <c r="L14" s="2"/>
      <c r="M14" s="2"/>
      <c r="N14" s="2"/>
      <c r="O14" s="2"/>
    </row>
    <row r="15" spans="1:15" ht="16">
      <c r="A15" s="2" t="s">
        <v>137</v>
      </c>
      <c r="B15" s="10">
        <f>Solver!$B$7</f>
        <v>30</v>
      </c>
      <c r="C15" s="10" t="s">
        <v>135</v>
      </c>
      <c r="D15" s="10">
        <f>Inputs!$B$24</f>
        <v>30</v>
      </c>
      <c r="E15" s="10" t="str">
        <f t="shared" si="0"/>
        <v>BINDING</v>
      </c>
      <c r="F15" s="2"/>
      <c r="G15" s="2"/>
      <c r="H15" s="2"/>
      <c r="I15" s="2"/>
      <c r="J15" s="2"/>
      <c r="K15" s="2"/>
      <c r="L15" s="2"/>
      <c r="M15" s="2"/>
      <c r="N15" s="2"/>
      <c r="O15" s="2"/>
    </row>
    <row r="16" spans="1:15" ht="16">
      <c r="A16" s="2" t="s">
        <v>138</v>
      </c>
      <c r="B16" s="10">
        <f>'Farm Model'!$E$5</f>
        <v>60</v>
      </c>
      <c r="C16" s="10" t="s">
        <v>135</v>
      </c>
      <c r="D16" s="10">
        <f>Inputs!$B$7</f>
        <v>64</v>
      </c>
      <c r="E16" s="10" t="str">
        <f t="shared" si="0"/>
        <v>SLACK</v>
      </c>
      <c r="F16" s="2"/>
      <c r="G16" s="2"/>
      <c r="H16" s="2"/>
      <c r="I16" s="2"/>
      <c r="J16" s="2"/>
      <c r="K16" s="2"/>
      <c r="L16" s="2"/>
      <c r="M16" s="2"/>
      <c r="N16" s="2"/>
      <c r="O16" s="2"/>
    </row>
    <row r="17" spans="1:15" ht="16">
      <c r="A17" s="2" t="s">
        <v>139</v>
      </c>
      <c r="B17" s="10">
        <f>'Farm Model'!$B$17</f>
        <v>3.1647334126901998</v>
      </c>
      <c r="C17" s="10" t="s">
        <v>135</v>
      </c>
      <c r="D17" s="10">
        <f>Inputs!$B$13</f>
        <v>4</v>
      </c>
      <c r="E17" s="10" t="str">
        <f t="shared" si="0"/>
        <v>SLACK</v>
      </c>
      <c r="F17" s="2"/>
      <c r="G17" s="2"/>
      <c r="H17" s="2"/>
      <c r="I17" s="2"/>
      <c r="J17" s="2"/>
      <c r="K17" s="2"/>
      <c r="L17" s="2"/>
      <c r="M17" s="2"/>
      <c r="N17" s="2"/>
      <c r="O17" s="2"/>
    </row>
    <row r="18" spans="1:15" ht="16">
      <c r="A18" s="2" t="s">
        <v>116</v>
      </c>
      <c r="B18" s="10">
        <f>'Farm Model'!$B$24</f>
        <v>1.2</v>
      </c>
      <c r="C18" s="10" t="s">
        <v>135</v>
      </c>
      <c r="D18" s="10">
        <f>Inputs!$B$5</f>
        <v>1.5</v>
      </c>
      <c r="E18" s="10" t="str">
        <f t="shared" si="0"/>
        <v>SLACK</v>
      </c>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spans="1:15">
      <c r="A21" s="21" t="s">
        <v>140</v>
      </c>
      <c r="B21" s="21"/>
      <c r="C21" s="21"/>
      <c r="D21" s="21"/>
      <c r="E21" s="21"/>
      <c r="F21" s="21"/>
      <c r="G21" s="2"/>
      <c r="H21" s="2"/>
      <c r="I21" s="2"/>
      <c r="J21" s="2"/>
      <c r="K21" s="2"/>
      <c r="L21" s="2"/>
      <c r="M21" s="2"/>
      <c r="N21" s="2"/>
      <c r="O21" s="2"/>
    </row>
    <row r="22" spans="1:15" ht="16">
      <c r="A22" s="1" t="s">
        <v>141</v>
      </c>
      <c r="B22" s="1" t="s">
        <v>142</v>
      </c>
      <c r="C22" s="1" t="s">
        <v>143</v>
      </c>
      <c r="D22" s="1" t="s">
        <v>144</v>
      </c>
      <c r="E22" s="1" t="s">
        <v>145</v>
      </c>
      <c r="F22" s="1" t="s">
        <v>146</v>
      </c>
      <c r="G22" s="2"/>
      <c r="H22" s="2"/>
      <c r="I22" s="2"/>
      <c r="J22" s="2"/>
      <c r="K22" s="2"/>
      <c r="L22" s="2"/>
      <c r="M22" s="2"/>
      <c r="N22" s="2"/>
      <c r="O22" s="2"/>
    </row>
    <row r="23" spans="1:15" ht="32">
      <c r="A23" s="2" t="s">
        <v>75</v>
      </c>
      <c r="B23" s="8">
        <f>(((Solver!$B$5+1))*Inputs!$B$15+(Solver!$B$6)*Inputs!$B$20+(Solver!$B$7)*Inputs!$B$25)-(MIN((((Solver!$B$5+1))*Inputs!$B$16*Inputs!$B$4*(1+Inputs!$B$18)^((Solver!$B$5+1))+(Solver!$B$6)*Inputs!$B$21*Inputs!$B$4*(1+Inputs!$B$23)^(Solver!$B$6)+(Solver!$B$7)*Inputs!$B$26*Inputs!$B$4*(1+Inputs!$B$28)^(Solver!$B$7)),Inputs!$B$9)*Inputs!$B$10+MAX((((Solver!$B$5+1))*Inputs!$B$16*Inputs!$B$4*(1+Inputs!$B$18)^((Solver!$B$5+1))+(Solver!$B$6)*Inputs!$B$21*Inputs!$B$4*(1+Inputs!$B$23)^(Solver!$B$6)+(Solver!$B$7)*Inputs!$B$26*Inputs!$B$4*(1+Inputs!$B$28)^(Solver!$B$7))-Inputs!$B$9,0)*Inputs!$B$12)-(((Solver!$B$5+1))*Inputs!$B$17+(Solver!$B$6)*Inputs!$B$22+(Solver!$B$7)*Inputs!$B$27)-Inputs!$B$8</f>
        <v>42170.947235541869</v>
      </c>
      <c r="C23" s="8">
        <f>B23-'Farm Model'!$B$23</f>
        <v>-590.71744720313291</v>
      </c>
      <c r="D23" s="2" t="str">
        <f>IF(AND(Solver!$B$5&lt;Inputs!$B$14,'Farm Model'!$E$5&lt;Inputs!$B$7,'Farm Model'!$B$24+Inputs!$B$6&lt;=Inputs!$B$5),"SPACE AVAILABLE","CONSTRAINT BLOCKS")</f>
        <v>SPACE AVAILABLE</v>
      </c>
      <c r="E23" s="2" t="str">
        <f>IF(D23="CONSTRAINT BLOCKS","PREVENTED BY CONSTRAINT",IF(C23&gt;0,"PROFITABLE","NOT PROFITABLE"))</f>
        <v>NOT PROFITABLE</v>
      </c>
      <c r="F23" s="2" t="s">
        <v>147</v>
      </c>
      <c r="G23" s="2"/>
      <c r="H23" s="2"/>
      <c r="I23" s="2"/>
      <c r="J23" s="2"/>
      <c r="K23" s="2"/>
      <c r="L23" s="2"/>
      <c r="M23" s="2"/>
      <c r="N23" s="2"/>
      <c r="O23" s="2"/>
    </row>
    <row r="24" spans="1:15" ht="32">
      <c r="A24" s="2" t="s">
        <v>90</v>
      </c>
      <c r="B24" s="8">
        <f>((Solver!$B$5)*Inputs!$B$15+((Solver!$B$6+1))*Inputs!$B$20+(Solver!$B$7)*Inputs!$B$25)-(MIN(((Solver!$B$5)*Inputs!$B$16*Inputs!$B$4*(1+Inputs!$B$18)^(Solver!$B$5)+((Solver!$B$6+1))*Inputs!$B$21*Inputs!$B$4*(1+Inputs!$B$23)^((Solver!$B$6+1))+(Solver!$B$7)*Inputs!$B$26*Inputs!$B$4*(1+Inputs!$B$28)^(Solver!$B$7)),Inputs!$B$9)*Inputs!$B$10+MAX(((Solver!$B$5)*Inputs!$B$16*Inputs!$B$4*(1+Inputs!$B$18)^(Solver!$B$5)+((Solver!$B$6+1))*Inputs!$B$21*Inputs!$B$4*(1+Inputs!$B$23)^((Solver!$B$6+1))+(Solver!$B$7)*Inputs!$B$26*Inputs!$B$4*(1+Inputs!$B$28)^(Solver!$B$7))-Inputs!$B$9,0)*Inputs!$B$12)-((Solver!$B$5)*Inputs!$B$17+((Solver!$B$6+1))*Inputs!$B$22+(Solver!$B$7)*Inputs!$B$27)-Inputs!$B$8</f>
        <v>43114.159437201844</v>
      </c>
      <c r="C24" s="8">
        <f>B24-'Farm Model'!$B$23</f>
        <v>352.4947544568422</v>
      </c>
      <c r="D24" s="2" t="str">
        <f>IF(AND(Solver!$B$6&lt;Inputs!$B$19,'Farm Model'!$E$5&lt;Inputs!$B$7,'Farm Model'!$B$24+Inputs!$B$6&lt;=Inputs!$B$5),"SPACE AVAILABLE","CONSTRAINT BLOCKS")</f>
        <v>CONSTRAINT BLOCKS</v>
      </c>
      <c r="E24" s="2" t="str">
        <f>IF(D24="CONSTRAINT BLOCKS","PREVENTED BY CONSTRAINT",IF(C24&gt;0,"PROFITABLE","NOT PROFITABLE"))</f>
        <v>PREVENTED BY CONSTRAINT</v>
      </c>
      <c r="F24" s="2" t="s">
        <v>147</v>
      </c>
      <c r="G24" s="2"/>
      <c r="H24" s="2"/>
      <c r="I24" s="2"/>
      <c r="J24" s="2"/>
      <c r="K24" s="2"/>
      <c r="L24" s="2"/>
      <c r="M24" s="2"/>
      <c r="N24" s="2"/>
      <c r="O24" s="2"/>
    </row>
    <row r="25" spans="1:15" ht="32">
      <c r="A25" s="2" t="s">
        <v>92</v>
      </c>
      <c r="B25" s="8">
        <f>((Solver!$B$5)*Inputs!$B$15+(Solver!$B$6)*Inputs!$B$20+((Solver!$B$7+1))*Inputs!$B$25)-(MIN(((Solver!$B$5)*Inputs!$B$16*Inputs!$B$4*(1+Inputs!$B$18)^(Solver!$B$5)+(Solver!$B$6)*Inputs!$B$21*Inputs!$B$4*(1+Inputs!$B$23)^(Solver!$B$6)+((Solver!$B$7+1))*Inputs!$B$26*Inputs!$B$4*(1+Inputs!$B$28)^((Solver!$B$7+1))),Inputs!$B$9)*Inputs!$B$10+MAX(((Solver!$B$5)*Inputs!$B$16*Inputs!$B$4*(1+Inputs!$B$18)^(Solver!$B$5)+(Solver!$B$6)*Inputs!$B$21*Inputs!$B$4*(1+Inputs!$B$23)^(Solver!$B$6)+((Solver!$B$7+1))*Inputs!$B$26*Inputs!$B$4*(1+Inputs!$B$28)^((Solver!$B$7+1)))-Inputs!$B$9,0)*Inputs!$B$12)-((Solver!$B$5)*Inputs!$B$17+(Solver!$B$6)*Inputs!$B$22+((Solver!$B$7+1))*Inputs!$B$27)-Inputs!$B$8</f>
        <v>43008.138481956019</v>
      </c>
      <c r="C25" s="8">
        <f>B25-'Farm Model'!$B$23</f>
        <v>246.47379921101674</v>
      </c>
      <c r="D25" s="2" t="str">
        <f>IF(AND(Solver!$B$7&lt;Inputs!$B$24,'Farm Model'!$E$5&lt;Inputs!$B$7,'Farm Model'!$B$24+Inputs!$B$6&lt;=Inputs!$B$5),"SPACE AVAILABLE","CONSTRAINT BLOCKS")</f>
        <v>CONSTRAINT BLOCKS</v>
      </c>
      <c r="E25" s="2" t="str">
        <f>IF(D25="CONSTRAINT BLOCKS","PREVENTED BY CONSTRAINT",IF(C25&gt;0,"PROFITABLE","NOT PROFITABLE"))</f>
        <v>PREVENTED BY CONSTRAINT</v>
      </c>
      <c r="F25" s="2" t="s">
        <v>147</v>
      </c>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16" t="s">
        <v>148</v>
      </c>
      <c r="B27" s="16"/>
      <c r="C27" s="16"/>
      <c r="D27" s="16"/>
      <c r="E27" s="16"/>
      <c r="F27" s="16"/>
      <c r="G27" s="2"/>
      <c r="H27" s="2"/>
      <c r="I27" s="2"/>
      <c r="J27" s="2"/>
      <c r="K27" s="2"/>
      <c r="L27" s="2"/>
      <c r="M27" s="2"/>
      <c r="N27" s="2"/>
      <c r="O27" s="2"/>
    </row>
    <row r="28" spans="1:15">
      <c r="A28" s="16"/>
      <c r="B28" s="16"/>
      <c r="C28" s="16"/>
      <c r="D28" s="16"/>
      <c r="E28" s="16"/>
      <c r="F28" s="16"/>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sheetData>
  <mergeCells count="4">
    <mergeCell ref="A1:F1"/>
    <mergeCell ref="A2:F2"/>
    <mergeCell ref="A21:F21"/>
    <mergeCell ref="A27:F28"/>
  </mergeCells>
  <conditionalFormatting sqref="E13:E18">
    <cfRule type="expression" dxfId="4" priority="1">
      <formula>E13="VIOLATED"</formula>
    </cfRule>
    <cfRule type="expression" dxfId="3" priority="2">
      <formula>E13="BINDING"</formula>
    </cfRule>
    <cfRule type="expression" dxfId="2" priority="3">
      <formula>E13="SLACK"</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02"/>
  <sheetViews>
    <sheetView tabSelected="1" workbookViewId="0">
      <selection activeCell="C14" sqref="C14"/>
    </sheetView>
  </sheetViews>
  <sheetFormatPr baseColWidth="10" defaultColWidth="8.83203125" defaultRowHeight="15"/>
  <cols>
    <col min="1" max="1" width="30" customWidth="1"/>
    <col min="2" max="4" width="18" customWidth="1"/>
    <col min="5" max="6" width="30" customWidth="1"/>
  </cols>
  <sheetData>
    <row r="1" spans="1:15" ht="21">
      <c r="A1" s="15" t="s">
        <v>149</v>
      </c>
      <c r="B1" s="15"/>
      <c r="C1" s="15"/>
      <c r="D1" s="15"/>
      <c r="E1" s="15"/>
      <c r="F1" s="15"/>
      <c r="G1" s="2"/>
      <c r="H1" s="2"/>
      <c r="I1" s="2"/>
      <c r="J1" s="2"/>
      <c r="K1" s="2"/>
      <c r="L1" s="2"/>
      <c r="M1" s="2"/>
      <c r="N1" s="2"/>
      <c r="O1" s="2"/>
    </row>
    <row r="2" spans="1:15">
      <c r="A2" s="16" t="s">
        <v>150</v>
      </c>
      <c r="B2" s="16"/>
      <c r="C2" s="16"/>
      <c r="D2" s="16"/>
      <c r="E2" s="16"/>
      <c r="F2" s="16"/>
      <c r="G2" s="2"/>
      <c r="H2" s="2"/>
      <c r="I2" s="2"/>
      <c r="J2" s="2"/>
      <c r="K2" s="2"/>
      <c r="L2" s="2"/>
      <c r="M2" s="2"/>
      <c r="N2" s="2"/>
      <c r="O2" s="2"/>
    </row>
    <row r="3" spans="1:15">
      <c r="A3" s="2"/>
      <c r="B3" s="2"/>
      <c r="C3" s="2"/>
      <c r="D3" s="2"/>
      <c r="E3" s="2"/>
      <c r="F3" s="2"/>
      <c r="G3" s="2"/>
      <c r="H3" s="2"/>
      <c r="I3" s="2"/>
      <c r="J3" s="2"/>
      <c r="K3" s="2"/>
      <c r="L3" s="2"/>
      <c r="M3" s="2"/>
      <c r="N3" s="2"/>
      <c r="O3" s="2"/>
    </row>
    <row r="4" spans="1:15" ht="32">
      <c r="A4" s="1" t="s">
        <v>151</v>
      </c>
      <c r="B4" s="1" t="s">
        <v>152</v>
      </c>
      <c r="C4" s="1" t="s">
        <v>153</v>
      </c>
      <c r="D4" s="1" t="s">
        <v>133</v>
      </c>
      <c r="E4" s="1" t="s">
        <v>154</v>
      </c>
      <c r="F4" s="1" t="s">
        <v>155</v>
      </c>
      <c r="G4" s="2"/>
      <c r="H4" s="2"/>
      <c r="I4" s="2"/>
      <c r="J4" s="2"/>
      <c r="K4" s="2"/>
      <c r="L4" s="2"/>
      <c r="M4" s="2"/>
      <c r="N4" s="2"/>
      <c r="O4" s="2"/>
    </row>
    <row r="5" spans="1:15" ht="16">
      <c r="A5" s="2" t="s">
        <v>156</v>
      </c>
      <c r="B5" s="2">
        <v>99</v>
      </c>
      <c r="C5" s="10">
        <f>'Marginal Analysis'!C7</f>
        <v>99.000000000000014</v>
      </c>
      <c r="D5" s="2" t="str">
        <f>IF(ABS(C5-B5)&lt;0.000001,"PASS","FAIL")</f>
        <v>PASS</v>
      </c>
      <c r="E5" s="2"/>
      <c r="F5" s="2" t="s">
        <v>157</v>
      </c>
      <c r="G5" s="2"/>
      <c r="H5" s="2"/>
      <c r="I5" s="2"/>
      <c r="J5" s="2"/>
      <c r="K5" s="2"/>
      <c r="L5" s="2"/>
      <c r="M5" s="2"/>
      <c r="N5" s="2"/>
      <c r="O5" s="2"/>
    </row>
    <row r="6" spans="1:15" ht="16">
      <c r="A6" s="2" t="s">
        <v>158</v>
      </c>
      <c r="B6" s="2" t="s">
        <v>159</v>
      </c>
      <c r="C6" s="10" t="str">
        <f>Solver!$B$5&amp;" / "&amp;Solver!$B$6&amp;" / "&amp;Solver!$B$7</f>
        <v>10 / 20 / 30</v>
      </c>
      <c r="D6" s="2" t="str">
        <f>IF(C6=B6,"PASS","CHECK")</f>
        <v>PASS</v>
      </c>
      <c r="E6" s="2"/>
      <c r="F6" s="2" t="s">
        <v>160</v>
      </c>
      <c r="G6" s="2"/>
      <c r="H6" s="2"/>
      <c r="I6" s="2"/>
      <c r="J6" s="2"/>
      <c r="K6" s="2"/>
      <c r="L6" s="2"/>
      <c r="M6" s="2"/>
      <c r="N6" s="2"/>
      <c r="O6" s="2"/>
    </row>
    <row r="7" spans="1:15" ht="112">
      <c r="A7" s="2" t="s">
        <v>161</v>
      </c>
      <c r="B7" s="8">
        <v>42762</v>
      </c>
      <c r="C7" s="11">
        <f>'Farm Model'!$B$23</f>
        <v>42761.664682745002</v>
      </c>
      <c r="D7" s="2" t="str">
        <f>IF(ABS(C7-B7)&lt;=50,"PASS","CHECK")</f>
        <v>PASS</v>
      </c>
      <c r="E7" s="2" t="s">
        <v>181</v>
      </c>
      <c r="F7" s="2" t="s">
        <v>162</v>
      </c>
      <c r="G7" s="2"/>
      <c r="H7" s="2"/>
      <c r="I7" s="2"/>
      <c r="J7" s="2"/>
      <c r="K7" s="2"/>
      <c r="L7" s="2"/>
      <c r="M7" s="2"/>
      <c r="N7" s="2"/>
      <c r="O7" s="2"/>
    </row>
    <row r="8" spans="1:15" ht="16">
      <c r="A8" s="2" t="s">
        <v>163</v>
      </c>
      <c r="B8" s="2">
        <v>10</v>
      </c>
      <c r="C8" s="10">
        <f>'Marginal Analysis'!$N$6</f>
        <v>10</v>
      </c>
      <c r="D8" s="2" t="str">
        <f>IF(C8=B8,"PASS","CHECK")</f>
        <v>PASS</v>
      </c>
      <c r="E8" s="2"/>
      <c r="F8" s="2" t="s">
        <v>164</v>
      </c>
      <c r="G8" s="2"/>
      <c r="H8" s="2"/>
      <c r="I8" s="2"/>
      <c r="J8" s="2"/>
      <c r="K8" s="2"/>
      <c r="L8" s="2"/>
      <c r="M8" s="2"/>
      <c r="N8" s="2"/>
      <c r="O8" s="2"/>
    </row>
    <row r="9" spans="1:15" ht="16">
      <c r="A9" s="2" t="s">
        <v>165</v>
      </c>
      <c r="B9" s="2">
        <v>10</v>
      </c>
      <c r="C9" s="10">
        <f>'Marginal Analysis'!$N$31</f>
        <v>10</v>
      </c>
      <c r="D9" s="2" t="str">
        <f>IF(C9=B9,"PASS","CHECK")</f>
        <v>PASS</v>
      </c>
      <c r="E9" s="2"/>
      <c r="F9" s="2" t="s">
        <v>164</v>
      </c>
      <c r="G9" s="2"/>
      <c r="H9" s="2"/>
      <c r="I9" s="2"/>
      <c r="J9" s="2"/>
      <c r="K9" s="2"/>
      <c r="L9" s="2"/>
      <c r="M9" s="2"/>
      <c r="N9" s="2"/>
      <c r="O9" s="2"/>
    </row>
    <row r="10" spans="1:15" ht="16">
      <c r="A10" s="2" t="s">
        <v>166</v>
      </c>
      <c r="B10" s="2">
        <v>6</v>
      </c>
      <c r="C10" s="10">
        <f>'Marginal Analysis'!$N$56</f>
        <v>6</v>
      </c>
      <c r="D10" s="2" t="str">
        <f>IF(C10=B10,"PASS","CHECK")</f>
        <v>PASS</v>
      </c>
      <c r="E10" s="2"/>
      <c r="F10" s="2" t="s">
        <v>164</v>
      </c>
      <c r="G10" s="2"/>
      <c r="H10" s="2"/>
      <c r="I10" s="2"/>
      <c r="J10" s="2"/>
      <c r="K10" s="2"/>
      <c r="L10" s="2"/>
      <c r="M10" s="2"/>
      <c r="N10" s="2"/>
      <c r="O10" s="2"/>
    </row>
    <row r="11" spans="1:15" ht="16">
      <c r="A11" s="2" t="s">
        <v>167</v>
      </c>
      <c r="B11" s="2" t="s">
        <v>168</v>
      </c>
      <c r="C11" s="14" t="s">
        <v>159</v>
      </c>
      <c r="D11" s="2" t="s">
        <v>178</v>
      </c>
      <c r="E11" s="2"/>
      <c r="F11" s="2" t="s">
        <v>169</v>
      </c>
      <c r="G11" s="2"/>
      <c r="H11" s="2"/>
      <c r="I11" s="2"/>
      <c r="J11" s="2"/>
      <c r="K11" s="2"/>
      <c r="L11" s="2"/>
      <c r="M11" s="2"/>
      <c r="N11" s="2"/>
      <c r="O11" s="2"/>
    </row>
    <row r="12" spans="1:15" ht="16">
      <c r="A12" s="2" t="s">
        <v>170</v>
      </c>
      <c r="B12" s="2" t="s">
        <v>168</v>
      </c>
      <c r="C12" s="14" t="s">
        <v>159</v>
      </c>
      <c r="D12" s="2" t="s">
        <v>178</v>
      </c>
      <c r="E12" s="2"/>
      <c r="F12" s="2" t="s">
        <v>169</v>
      </c>
      <c r="G12" s="2"/>
      <c r="H12" s="2"/>
      <c r="I12" s="2"/>
      <c r="J12" s="2"/>
      <c r="K12" s="2"/>
      <c r="L12" s="2"/>
      <c r="M12" s="2"/>
      <c r="N12" s="2"/>
      <c r="O12" s="2"/>
    </row>
    <row r="13" spans="1:15" ht="80">
      <c r="A13" s="2" t="s">
        <v>171</v>
      </c>
      <c r="B13" s="2" t="s">
        <v>172</v>
      </c>
      <c r="C13" s="10" t="s">
        <v>190</v>
      </c>
      <c r="D13" s="2" t="s">
        <v>178</v>
      </c>
      <c r="E13" s="2" t="s">
        <v>179</v>
      </c>
      <c r="F13" s="2" t="s">
        <v>173</v>
      </c>
      <c r="G13" s="2"/>
      <c r="H13" s="2"/>
      <c r="I13" s="2"/>
      <c r="J13" s="2"/>
      <c r="K13" s="2"/>
      <c r="L13" s="2"/>
      <c r="M13" s="2"/>
      <c r="N13" s="2"/>
      <c r="O13" s="2"/>
    </row>
    <row r="14" spans="1:15" ht="80">
      <c r="A14" s="2" t="s">
        <v>174</v>
      </c>
      <c r="B14" s="2" t="s">
        <v>175</v>
      </c>
      <c r="C14" s="10">
        <f>'Marginal Analysis'!I12</f>
        <v>4906.2750000000051</v>
      </c>
      <c r="D14" s="2" t="s">
        <v>176</v>
      </c>
      <c r="E14" s="2" t="s">
        <v>180</v>
      </c>
      <c r="F14" s="2" t="s">
        <v>177</v>
      </c>
      <c r="G14" s="2"/>
      <c r="H14" s="2"/>
      <c r="I14" s="2"/>
      <c r="J14" s="2"/>
      <c r="K14" s="2"/>
      <c r="L14" s="2"/>
      <c r="M14" s="2"/>
      <c r="N14" s="2"/>
      <c r="O14" s="2"/>
    </row>
    <row r="15" spans="1:15" ht="64">
      <c r="A15" s="2" t="s">
        <v>182</v>
      </c>
      <c r="B15" s="2" t="s">
        <v>183</v>
      </c>
      <c r="C15" s="10" t="s">
        <v>184</v>
      </c>
      <c r="D15" s="2" t="s">
        <v>178</v>
      </c>
      <c r="E15" s="2" t="s">
        <v>188</v>
      </c>
      <c r="F15" s="2"/>
      <c r="G15" s="2"/>
      <c r="H15" s="2"/>
      <c r="I15" s="2"/>
      <c r="J15" s="2"/>
      <c r="K15" s="2"/>
      <c r="L15" s="2"/>
      <c r="M15" s="2"/>
      <c r="N15" s="2"/>
      <c r="O15" s="2"/>
    </row>
    <row r="16" spans="1:15" ht="48">
      <c r="A16" s="2" t="s">
        <v>185</v>
      </c>
      <c r="B16" s="2" t="s">
        <v>186</v>
      </c>
      <c r="C16" s="10" t="s">
        <v>187</v>
      </c>
      <c r="D16" s="2" t="s">
        <v>178</v>
      </c>
      <c r="E16" s="2" t="s">
        <v>189</v>
      </c>
      <c r="F16" s="2"/>
      <c r="G16" s="2"/>
      <c r="H16" s="2"/>
      <c r="I16" s="2"/>
      <c r="J16" s="2"/>
      <c r="K16" s="2"/>
      <c r="L16" s="2"/>
      <c r="M16" s="2"/>
      <c r="N16" s="2"/>
      <c r="O16" s="2"/>
    </row>
    <row r="17" spans="1:15">
      <c r="A17" s="2"/>
      <c r="B17" s="2"/>
      <c r="C17" s="2"/>
      <c r="D17" s="2"/>
      <c r="E17" s="2"/>
      <c r="F17" s="2"/>
      <c r="G17" s="2"/>
      <c r="H17" s="2"/>
      <c r="I17" s="2"/>
      <c r="J17" s="2"/>
      <c r="K17" s="2"/>
      <c r="L17" s="2"/>
      <c r="M17" s="2"/>
      <c r="N17" s="2"/>
      <c r="O17" s="2"/>
    </row>
    <row r="18" spans="1:15">
      <c r="A18" s="2"/>
      <c r="B18" s="2"/>
      <c r="C18" s="2"/>
      <c r="D18" s="2"/>
      <c r="E18" s="2"/>
      <c r="F18" s="2"/>
      <c r="G18" s="2"/>
      <c r="H18" s="2"/>
      <c r="I18" s="2"/>
      <c r="J18" s="2"/>
      <c r="K18" s="2"/>
      <c r="L18" s="2"/>
      <c r="M18" s="2"/>
      <c r="N18" s="2"/>
      <c r="O18" s="2"/>
    </row>
    <row r="19" spans="1:15">
      <c r="A19" s="2"/>
      <c r="B19" s="2"/>
      <c r="C19" s="2"/>
      <c r="D19" s="2"/>
      <c r="E19" s="2"/>
      <c r="F19" s="2"/>
      <c r="G19" s="2"/>
      <c r="H19" s="2"/>
      <c r="I19" s="2"/>
      <c r="J19" s="2"/>
      <c r="K19" s="2"/>
      <c r="L19" s="2"/>
      <c r="M19" s="2"/>
      <c r="N19" s="2"/>
      <c r="O19" s="2"/>
    </row>
    <row r="20" spans="1:15">
      <c r="A20" s="2"/>
      <c r="B20" s="2"/>
      <c r="C20" s="2"/>
      <c r="D20" s="2"/>
      <c r="E20" s="2"/>
      <c r="F20" s="2"/>
      <c r="G20" s="2"/>
      <c r="H20" s="2"/>
      <c r="I20" s="2"/>
      <c r="J20" s="2"/>
      <c r="K20" s="2"/>
      <c r="L20" s="2"/>
      <c r="M20" s="2"/>
      <c r="N20" s="2"/>
      <c r="O20" s="2"/>
    </row>
    <row r="21" spans="1:15">
      <c r="A21" s="2"/>
      <c r="B21" s="2"/>
      <c r="C21" s="2"/>
      <c r="D21" s="2"/>
      <c r="E21" s="2"/>
      <c r="F21" s="2"/>
      <c r="G21" s="2"/>
      <c r="H21" s="2"/>
      <c r="I21" s="2"/>
      <c r="J21" s="2"/>
      <c r="K21" s="2"/>
      <c r="L21" s="2"/>
      <c r="M21" s="2"/>
      <c r="N21" s="2"/>
      <c r="O21" s="2"/>
    </row>
    <row r="22" spans="1:15">
      <c r="A22" s="2"/>
      <c r="B22" s="2"/>
      <c r="C22" s="2"/>
      <c r="D22" s="2"/>
      <c r="E22" s="2"/>
      <c r="F22" s="2"/>
      <c r="G22" s="2"/>
      <c r="H22" s="2"/>
      <c r="I22" s="2"/>
      <c r="J22" s="2"/>
      <c r="K22" s="2"/>
      <c r="L22" s="2"/>
      <c r="M22" s="2"/>
      <c r="N22" s="2"/>
      <c r="O22" s="2"/>
    </row>
    <row r="23" spans="1:15">
      <c r="A23" s="2"/>
      <c r="B23" s="2"/>
      <c r="C23" s="2"/>
      <c r="D23" s="2"/>
      <c r="E23" s="2"/>
      <c r="F23" s="2"/>
      <c r="G23" s="2"/>
      <c r="H23" s="2"/>
      <c r="I23" s="2"/>
      <c r="J23" s="2"/>
      <c r="K23" s="2"/>
      <c r="L23" s="2"/>
      <c r="M23" s="2"/>
      <c r="N23" s="2"/>
      <c r="O23" s="2"/>
    </row>
    <row r="24" spans="1:15">
      <c r="A24" s="2"/>
      <c r="B24" s="2"/>
      <c r="C24" s="2"/>
      <c r="D24" s="2"/>
      <c r="E24" s="2"/>
      <c r="F24" s="2"/>
      <c r="G24" s="2"/>
      <c r="H24" s="2"/>
      <c r="I24" s="2"/>
      <c r="J24" s="2"/>
      <c r="K24" s="2"/>
      <c r="L24" s="2"/>
      <c r="M24" s="2"/>
      <c r="N24" s="2"/>
      <c r="O24" s="2"/>
    </row>
    <row r="25" spans="1:15">
      <c r="A25" s="2"/>
      <c r="B25" s="2"/>
      <c r="C25" s="2"/>
      <c r="D25" s="2"/>
      <c r="E25" s="2"/>
      <c r="F25" s="2"/>
      <c r="G25" s="2"/>
      <c r="H25" s="2"/>
      <c r="I25" s="2"/>
      <c r="J25" s="2"/>
      <c r="K25" s="2"/>
      <c r="L25" s="2"/>
      <c r="M25" s="2"/>
      <c r="N25" s="2"/>
      <c r="O25" s="2"/>
    </row>
    <row r="26" spans="1:15">
      <c r="A26" s="2"/>
      <c r="B26" s="2"/>
      <c r="C26" s="2"/>
      <c r="D26" s="2"/>
      <c r="E26" s="2"/>
      <c r="F26" s="2"/>
      <c r="G26" s="2"/>
      <c r="H26" s="2"/>
      <c r="I26" s="2"/>
      <c r="J26" s="2"/>
      <c r="K26" s="2"/>
      <c r="L26" s="2"/>
      <c r="M26" s="2"/>
      <c r="N26" s="2"/>
      <c r="O26" s="2"/>
    </row>
    <row r="27" spans="1:15">
      <c r="A27" s="2"/>
      <c r="B27" s="2"/>
      <c r="C27" s="2"/>
      <c r="D27" s="2"/>
      <c r="E27" s="2"/>
      <c r="F27" s="2"/>
      <c r="G27" s="2"/>
      <c r="H27" s="2"/>
      <c r="I27" s="2"/>
      <c r="J27" s="2"/>
      <c r="K27" s="2"/>
      <c r="L27" s="2"/>
      <c r="M27" s="2"/>
      <c r="N27" s="2"/>
      <c r="O27" s="2"/>
    </row>
    <row r="28" spans="1:15">
      <c r="A28" s="2"/>
      <c r="B28" s="2"/>
      <c r="C28" s="2"/>
      <c r="D28" s="2"/>
      <c r="E28" s="2"/>
      <c r="F28" s="2"/>
      <c r="G28" s="2"/>
      <c r="H28" s="2"/>
      <c r="I28" s="2"/>
      <c r="J28" s="2"/>
      <c r="K28" s="2"/>
      <c r="L28" s="2"/>
      <c r="M28" s="2"/>
      <c r="N28" s="2"/>
      <c r="O28" s="2"/>
    </row>
    <row r="29" spans="1:15">
      <c r="A29" s="2"/>
      <c r="B29" s="2"/>
      <c r="C29" s="2"/>
      <c r="D29" s="2"/>
      <c r="E29" s="2"/>
      <c r="F29" s="2"/>
      <c r="G29" s="2"/>
      <c r="H29" s="2"/>
      <c r="I29" s="2"/>
      <c r="J29" s="2"/>
      <c r="K29" s="2"/>
      <c r="L29" s="2"/>
      <c r="M29" s="2"/>
      <c r="N29" s="2"/>
      <c r="O29" s="2"/>
    </row>
    <row r="30" spans="1:15">
      <c r="A30" s="2"/>
      <c r="B30" s="2"/>
      <c r="C30" s="2"/>
      <c r="D30" s="2"/>
      <c r="E30" s="2"/>
      <c r="F30" s="2"/>
      <c r="G30" s="2"/>
      <c r="H30" s="2"/>
      <c r="I30" s="2"/>
      <c r="J30" s="2"/>
      <c r="K30" s="2"/>
      <c r="L30" s="2"/>
      <c r="M30" s="2"/>
      <c r="N30" s="2"/>
      <c r="O30" s="2"/>
    </row>
    <row r="31" spans="1:15">
      <c r="A31" s="2"/>
      <c r="B31" s="2"/>
      <c r="C31" s="2"/>
      <c r="D31" s="2"/>
      <c r="E31" s="2"/>
      <c r="F31" s="2"/>
      <c r="G31" s="2"/>
      <c r="H31" s="2"/>
      <c r="I31" s="2"/>
      <c r="J31" s="2"/>
      <c r="K31" s="2"/>
      <c r="L31" s="2"/>
      <c r="M31" s="2"/>
      <c r="N31" s="2"/>
      <c r="O31" s="2"/>
    </row>
    <row r="32" spans="1:15">
      <c r="A32" s="2"/>
      <c r="B32" s="2"/>
      <c r="C32" s="2"/>
      <c r="D32" s="2"/>
      <c r="E32" s="2"/>
      <c r="F32" s="2"/>
      <c r="G32" s="2"/>
      <c r="H32" s="2"/>
      <c r="I32" s="2"/>
      <c r="J32" s="2"/>
      <c r="K32" s="2"/>
      <c r="L32" s="2"/>
      <c r="M32" s="2"/>
      <c r="N32" s="2"/>
      <c r="O32" s="2"/>
    </row>
    <row r="33" spans="1:15">
      <c r="A33" s="2"/>
      <c r="B33" s="2"/>
      <c r="C33" s="2"/>
      <c r="D33" s="2"/>
      <c r="E33" s="2"/>
      <c r="F33" s="2"/>
      <c r="G33" s="2"/>
      <c r="H33" s="2"/>
      <c r="I33" s="2"/>
      <c r="J33" s="2"/>
      <c r="K33" s="2"/>
      <c r="L33" s="2"/>
      <c r="M33" s="2"/>
      <c r="N33" s="2"/>
      <c r="O33" s="2"/>
    </row>
    <row r="34" spans="1:15">
      <c r="A34" s="2"/>
      <c r="B34" s="2"/>
      <c r="C34" s="2"/>
      <c r="D34" s="2"/>
      <c r="E34" s="2"/>
      <c r="F34" s="2"/>
      <c r="G34" s="2"/>
      <c r="H34" s="2"/>
      <c r="I34" s="2"/>
      <c r="J34" s="2"/>
      <c r="K34" s="2"/>
      <c r="L34" s="2"/>
      <c r="M34" s="2"/>
      <c r="N34" s="2"/>
      <c r="O34" s="2"/>
    </row>
    <row r="35" spans="1:15">
      <c r="A35" s="2"/>
      <c r="B35" s="2"/>
      <c r="C35" s="2"/>
      <c r="D35" s="2"/>
      <c r="E35" s="2"/>
      <c r="F35" s="2"/>
      <c r="G35" s="2"/>
      <c r="H35" s="2"/>
      <c r="I35" s="2"/>
      <c r="J35" s="2"/>
      <c r="K35" s="2"/>
      <c r="L35" s="2"/>
      <c r="M35" s="2"/>
      <c r="N35" s="2"/>
      <c r="O35" s="2"/>
    </row>
    <row r="36" spans="1:15">
      <c r="A36" s="2"/>
      <c r="B36" s="2"/>
      <c r="C36" s="2"/>
      <c r="D36" s="2"/>
      <c r="E36" s="2"/>
      <c r="F36" s="2"/>
      <c r="G36" s="2"/>
      <c r="H36" s="2"/>
      <c r="I36" s="2"/>
      <c r="J36" s="2"/>
      <c r="K36" s="2"/>
      <c r="L36" s="2"/>
      <c r="M36" s="2"/>
      <c r="N36" s="2"/>
      <c r="O36" s="2"/>
    </row>
    <row r="37" spans="1:15">
      <c r="A37" s="2"/>
      <c r="B37" s="2"/>
      <c r="C37" s="2"/>
      <c r="D37" s="2"/>
      <c r="E37" s="2"/>
      <c r="F37" s="2"/>
      <c r="G37" s="2"/>
      <c r="H37" s="2"/>
      <c r="I37" s="2"/>
      <c r="J37" s="2"/>
      <c r="K37" s="2"/>
      <c r="L37" s="2"/>
      <c r="M37" s="2"/>
      <c r="N37" s="2"/>
      <c r="O37" s="2"/>
    </row>
    <row r="38" spans="1:15">
      <c r="A38" s="2"/>
      <c r="B38" s="2"/>
      <c r="C38" s="2"/>
      <c r="D38" s="2"/>
      <c r="E38" s="2"/>
      <c r="F38" s="2"/>
      <c r="G38" s="2"/>
      <c r="H38" s="2"/>
      <c r="I38" s="2"/>
      <c r="J38" s="2"/>
      <c r="K38" s="2"/>
      <c r="L38" s="2"/>
      <c r="M38" s="2"/>
      <c r="N38" s="2"/>
      <c r="O38" s="2"/>
    </row>
    <row r="39" spans="1:15">
      <c r="A39" s="2"/>
      <c r="B39" s="2"/>
      <c r="C39" s="2"/>
      <c r="D39" s="2"/>
      <c r="E39" s="2"/>
      <c r="F39" s="2"/>
      <c r="G39" s="2"/>
      <c r="H39" s="2"/>
      <c r="I39" s="2"/>
      <c r="J39" s="2"/>
      <c r="K39" s="2"/>
      <c r="L39" s="2"/>
      <c r="M39" s="2"/>
      <c r="N39" s="2"/>
      <c r="O39" s="2"/>
    </row>
    <row r="40" spans="1:15">
      <c r="A40" s="2"/>
      <c r="B40" s="2"/>
      <c r="C40" s="2"/>
      <c r="D40" s="2"/>
      <c r="E40" s="2"/>
      <c r="F40" s="2"/>
      <c r="G40" s="2"/>
      <c r="H40" s="2"/>
      <c r="I40" s="2"/>
      <c r="J40" s="2"/>
      <c r="K40" s="2"/>
      <c r="L40" s="2"/>
      <c r="M40" s="2"/>
      <c r="N40" s="2"/>
      <c r="O40" s="2"/>
    </row>
    <row r="41" spans="1:15">
      <c r="A41" s="2"/>
      <c r="B41" s="2"/>
      <c r="C41" s="2"/>
      <c r="D41" s="2"/>
      <c r="E41" s="2"/>
      <c r="F41" s="2"/>
      <c r="G41" s="2"/>
      <c r="H41" s="2"/>
      <c r="I41" s="2"/>
      <c r="J41" s="2"/>
      <c r="K41" s="2"/>
      <c r="L41" s="2"/>
      <c r="M41" s="2"/>
      <c r="N41" s="2"/>
      <c r="O41" s="2"/>
    </row>
    <row r="42" spans="1:15">
      <c r="A42" s="2"/>
      <c r="B42" s="2"/>
      <c r="C42" s="2"/>
      <c r="D42" s="2"/>
      <c r="E42" s="2"/>
      <c r="F42" s="2"/>
      <c r="G42" s="2"/>
      <c r="H42" s="2"/>
      <c r="I42" s="2"/>
      <c r="J42" s="2"/>
      <c r="K42" s="2"/>
      <c r="L42" s="2"/>
      <c r="M42" s="2"/>
      <c r="N42" s="2"/>
      <c r="O42" s="2"/>
    </row>
    <row r="43" spans="1:15">
      <c r="A43" s="2"/>
      <c r="B43" s="2"/>
      <c r="C43" s="2"/>
      <c r="D43" s="2"/>
      <c r="E43" s="2"/>
      <c r="F43" s="2"/>
      <c r="G43" s="2"/>
      <c r="H43" s="2"/>
      <c r="I43" s="2"/>
      <c r="J43" s="2"/>
      <c r="K43" s="2"/>
      <c r="L43" s="2"/>
      <c r="M43" s="2"/>
      <c r="N43" s="2"/>
      <c r="O43" s="2"/>
    </row>
    <row r="44" spans="1:15">
      <c r="A44" s="2"/>
      <c r="B44" s="2"/>
      <c r="C44" s="2"/>
      <c r="D44" s="2"/>
      <c r="E44" s="2"/>
      <c r="F44" s="2"/>
      <c r="G44" s="2"/>
      <c r="H44" s="2"/>
      <c r="I44" s="2"/>
      <c r="J44" s="2"/>
      <c r="K44" s="2"/>
      <c r="L44" s="2"/>
      <c r="M44" s="2"/>
      <c r="N44" s="2"/>
      <c r="O44" s="2"/>
    </row>
    <row r="45" spans="1:15">
      <c r="A45" s="2"/>
      <c r="B45" s="2"/>
      <c r="C45" s="2"/>
      <c r="D45" s="2"/>
      <c r="E45" s="2"/>
      <c r="F45" s="2"/>
      <c r="G45" s="2"/>
      <c r="H45" s="2"/>
      <c r="I45" s="2"/>
      <c r="J45" s="2"/>
      <c r="K45" s="2"/>
      <c r="L45" s="2"/>
      <c r="M45" s="2"/>
      <c r="N45" s="2"/>
      <c r="O45" s="2"/>
    </row>
    <row r="46" spans="1:15">
      <c r="A46" s="2"/>
      <c r="B46" s="2"/>
      <c r="C46" s="2"/>
      <c r="D46" s="2"/>
      <c r="E46" s="2"/>
      <c r="F46" s="2"/>
      <c r="G46" s="2"/>
      <c r="H46" s="2"/>
      <c r="I46" s="2"/>
      <c r="J46" s="2"/>
      <c r="K46" s="2"/>
      <c r="L46" s="2"/>
      <c r="M46" s="2"/>
      <c r="N46" s="2"/>
      <c r="O46" s="2"/>
    </row>
    <row r="47" spans="1:15">
      <c r="A47" s="2"/>
      <c r="B47" s="2"/>
      <c r="C47" s="2"/>
      <c r="D47" s="2"/>
      <c r="E47" s="2"/>
      <c r="F47" s="2"/>
      <c r="G47" s="2"/>
      <c r="H47" s="2"/>
      <c r="I47" s="2"/>
      <c r="J47" s="2"/>
      <c r="K47" s="2"/>
      <c r="L47" s="2"/>
      <c r="M47" s="2"/>
      <c r="N47" s="2"/>
      <c r="O47" s="2"/>
    </row>
    <row r="48" spans="1:15">
      <c r="A48" s="2"/>
      <c r="B48" s="2"/>
      <c r="C48" s="2"/>
      <c r="D48" s="2"/>
      <c r="E48" s="2"/>
      <c r="F48" s="2"/>
      <c r="G48" s="2"/>
      <c r="H48" s="2"/>
      <c r="I48" s="2"/>
      <c r="J48" s="2"/>
      <c r="K48" s="2"/>
      <c r="L48" s="2"/>
      <c r="M48" s="2"/>
      <c r="N48" s="2"/>
      <c r="O48" s="2"/>
    </row>
    <row r="49" spans="1:15">
      <c r="A49" s="2"/>
      <c r="B49" s="2"/>
      <c r="C49" s="2"/>
      <c r="D49" s="2"/>
      <c r="E49" s="2"/>
      <c r="F49" s="2"/>
      <c r="G49" s="2"/>
      <c r="H49" s="2"/>
      <c r="I49" s="2"/>
      <c r="J49" s="2"/>
      <c r="K49" s="2"/>
      <c r="L49" s="2"/>
      <c r="M49" s="2"/>
      <c r="N49" s="2"/>
      <c r="O49" s="2"/>
    </row>
    <row r="50" spans="1:15">
      <c r="A50" s="2"/>
      <c r="B50" s="2"/>
      <c r="C50" s="2"/>
      <c r="D50" s="2"/>
      <c r="E50" s="2"/>
      <c r="F50" s="2"/>
      <c r="G50" s="2"/>
      <c r="H50" s="2"/>
      <c r="I50" s="2"/>
      <c r="J50" s="2"/>
      <c r="K50" s="2"/>
      <c r="L50" s="2"/>
      <c r="M50" s="2"/>
      <c r="N50" s="2"/>
      <c r="O50" s="2"/>
    </row>
    <row r="51" spans="1:15">
      <c r="A51" s="2"/>
      <c r="B51" s="2"/>
      <c r="C51" s="2"/>
      <c r="D51" s="2"/>
      <c r="E51" s="2"/>
      <c r="F51" s="2"/>
      <c r="G51" s="2"/>
      <c r="H51" s="2"/>
      <c r="I51" s="2"/>
      <c r="J51" s="2"/>
      <c r="K51" s="2"/>
      <c r="L51" s="2"/>
      <c r="M51" s="2"/>
      <c r="N51" s="2"/>
      <c r="O51" s="2"/>
    </row>
    <row r="52" spans="1:15">
      <c r="A52" s="2"/>
      <c r="B52" s="2"/>
      <c r="C52" s="2"/>
      <c r="D52" s="2"/>
      <c r="E52" s="2"/>
      <c r="F52" s="2"/>
      <c r="G52" s="2"/>
      <c r="H52" s="2"/>
      <c r="I52" s="2"/>
      <c r="J52" s="2"/>
      <c r="K52" s="2"/>
      <c r="L52" s="2"/>
      <c r="M52" s="2"/>
      <c r="N52" s="2"/>
      <c r="O52" s="2"/>
    </row>
    <row r="53" spans="1:15">
      <c r="A53" s="2"/>
      <c r="B53" s="2"/>
      <c r="C53" s="2"/>
      <c r="D53" s="2"/>
      <c r="E53" s="2"/>
      <c r="F53" s="2"/>
      <c r="G53" s="2"/>
      <c r="H53" s="2"/>
      <c r="I53" s="2"/>
      <c r="J53" s="2"/>
      <c r="K53" s="2"/>
      <c r="L53" s="2"/>
      <c r="M53" s="2"/>
      <c r="N53" s="2"/>
      <c r="O53" s="2"/>
    </row>
    <row r="54" spans="1:15">
      <c r="A54" s="2"/>
      <c r="B54" s="2"/>
      <c r="C54" s="2"/>
      <c r="D54" s="2"/>
      <c r="E54" s="2"/>
      <c r="F54" s="2"/>
      <c r="G54" s="2"/>
      <c r="H54" s="2"/>
      <c r="I54" s="2"/>
      <c r="J54" s="2"/>
      <c r="K54" s="2"/>
      <c r="L54" s="2"/>
      <c r="M54" s="2"/>
      <c r="N54" s="2"/>
      <c r="O54" s="2"/>
    </row>
    <row r="55" spans="1:15">
      <c r="A55" s="2"/>
      <c r="B55" s="2"/>
      <c r="C55" s="2"/>
      <c r="D55" s="2"/>
      <c r="E55" s="2"/>
      <c r="F55" s="2"/>
      <c r="G55" s="2"/>
      <c r="H55" s="2"/>
      <c r="I55" s="2"/>
      <c r="J55" s="2"/>
      <c r="K55" s="2"/>
      <c r="L55" s="2"/>
      <c r="M55" s="2"/>
      <c r="N55" s="2"/>
      <c r="O55" s="2"/>
    </row>
    <row r="56" spans="1:15">
      <c r="A56" s="2"/>
      <c r="B56" s="2"/>
      <c r="C56" s="2"/>
      <c r="D56" s="2"/>
      <c r="E56" s="2"/>
      <c r="F56" s="2"/>
      <c r="G56" s="2"/>
      <c r="H56" s="2"/>
      <c r="I56" s="2"/>
      <c r="J56" s="2"/>
      <c r="K56" s="2"/>
      <c r="L56" s="2"/>
      <c r="M56" s="2"/>
      <c r="N56" s="2"/>
      <c r="O56" s="2"/>
    </row>
    <row r="57" spans="1:15">
      <c r="A57" s="2"/>
      <c r="B57" s="2"/>
      <c r="C57" s="2"/>
      <c r="D57" s="2"/>
      <c r="E57" s="2"/>
      <c r="F57" s="2"/>
      <c r="G57" s="2"/>
      <c r="H57" s="2"/>
      <c r="I57" s="2"/>
      <c r="J57" s="2"/>
      <c r="K57" s="2"/>
      <c r="L57" s="2"/>
      <c r="M57" s="2"/>
      <c r="N57" s="2"/>
      <c r="O57" s="2"/>
    </row>
    <row r="58" spans="1:15">
      <c r="A58" s="2"/>
      <c r="B58" s="2"/>
      <c r="C58" s="2"/>
      <c r="D58" s="2"/>
      <c r="E58" s="2"/>
      <c r="F58" s="2"/>
      <c r="G58" s="2"/>
      <c r="H58" s="2"/>
      <c r="I58" s="2"/>
      <c r="J58" s="2"/>
      <c r="K58" s="2"/>
      <c r="L58" s="2"/>
      <c r="M58" s="2"/>
      <c r="N58" s="2"/>
      <c r="O58" s="2"/>
    </row>
    <row r="59" spans="1:15">
      <c r="A59" s="2"/>
      <c r="B59" s="2"/>
      <c r="C59" s="2"/>
      <c r="D59" s="2"/>
      <c r="E59" s="2"/>
      <c r="F59" s="2"/>
      <c r="G59" s="2"/>
      <c r="H59" s="2"/>
      <c r="I59" s="2"/>
      <c r="J59" s="2"/>
      <c r="K59" s="2"/>
      <c r="L59" s="2"/>
      <c r="M59" s="2"/>
      <c r="N59" s="2"/>
      <c r="O59" s="2"/>
    </row>
    <row r="60" spans="1:15">
      <c r="A60" s="2"/>
      <c r="B60" s="2"/>
      <c r="C60" s="2"/>
      <c r="D60" s="2"/>
      <c r="E60" s="2"/>
      <c r="F60" s="2"/>
      <c r="G60" s="2"/>
      <c r="H60" s="2"/>
      <c r="I60" s="2"/>
      <c r="J60" s="2"/>
      <c r="K60" s="2"/>
      <c r="L60" s="2"/>
      <c r="M60" s="2"/>
      <c r="N60" s="2"/>
      <c r="O60" s="2"/>
    </row>
    <row r="61" spans="1:15">
      <c r="A61" s="2"/>
      <c r="B61" s="2"/>
      <c r="C61" s="2"/>
      <c r="D61" s="2"/>
      <c r="E61" s="2"/>
      <c r="F61" s="2"/>
      <c r="G61" s="2"/>
      <c r="H61" s="2"/>
      <c r="I61" s="2"/>
      <c r="J61" s="2"/>
      <c r="K61" s="2"/>
      <c r="L61" s="2"/>
      <c r="M61" s="2"/>
      <c r="N61" s="2"/>
      <c r="O61" s="2"/>
    </row>
    <row r="62" spans="1:15">
      <c r="A62" s="2"/>
      <c r="B62" s="2"/>
      <c r="C62" s="2"/>
      <c r="D62" s="2"/>
      <c r="E62" s="2"/>
      <c r="F62" s="2"/>
      <c r="G62" s="2"/>
      <c r="H62" s="2"/>
      <c r="I62" s="2"/>
      <c r="J62" s="2"/>
      <c r="K62" s="2"/>
      <c r="L62" s="2"/>
      <c r="M62" s="2"/>
      <c r="N62" s="2"/>
      <c r="O62" s="2"/>
    </row>
    <row r="63" spans="1:15">
      <c r="A63" s="2"/>
      <c r="B63" s="2"/>
      <c r="C63" s="2"/>
      <c r="D63" s="2"/>
      <c r="E63" s="2"/>
      <c r="F63" s="2"/>
      <c r="G63" s="2"/>
      <c r="H63" s="2"/>
      <c r="I63" s="2"/>
      <c r="J63" s="2"/>
      <c r="K63" s="2"/>
      <c r="L63" s="2"/>
      <c r="M63" s="2"/>
      <c r="N63" s="2"/>
      <c r="O63" s="2"/>
    </row>
    <row r="64" spans="1:15">
      <c r="A64" s="2"/>
      <c r="B64" s="2"/>
      <c r="C64" s="2"/>
      <c r="D64" s="2"/>
      <c r="E64" s="2"/>
      <c r="F64" s="2"/>
      <c r="G64" s="2"/>
      <c r="H64" s="2"/>
      <c r="I64" s="2"/>
      <c r="J64" s="2"/>
      <c r="K64" s="2"/>
      <c r="L64" s="2"/>
      <c r="M64" s="2"/>
      <c r="N64" s="2"/>
      <c r="O64" s="2"/>
    </row>
    <row r="65" spans="1:15">
      <c r="A65" s="2"/>
      <c r="B65" s="2"/>
      <c r="C65" s="2"/>
      <c r="D65" s="2"/>
      <c r="E65" s="2"/>
      <c r="F65" s="2"/>
      <c r="G65" s="2"/>
      <c r="H65" s="2"/>
      <c r="I65" s="2"/>
      <c r="J65" s="2"/>
      <c r="K65" s="2"/>
      <c r="L65" s="2"/>
      <c r="M65" s="2"/>
      <c r="N65" s="2"/>
      <c r="O65" s="2"/>
    </row>
    <row r="66" spans="1:15">
      <c r="A66" s="2"/>
      <c r="B66" s="2"/>
      <c r="C66" s="2"/>
      <c r="D66" s="2"/>
      <c r="E66" s="2"/>
      <c r="F66" s="2"/>
      <c r="G66" s="2"/>
      <c r="H66" s="2"/>
      <c r="I66" s="2"/>
      <c r="J66" s="2"/>
      <c r="K66" s="2"/>
      <c r="L66" s="2"/>
      <c r="M66" s="2"/>
      <c r="N66" s="2"/>
      <c r="O66" s="2"/>
    </row>
    <row r="67" spans="1:15">
      <c r="A67" s="2"/>
      <c r="B67" s="2"/>
      <c r="C67" s="2"/>
      <c r="D67" s="2"/>
      <c r="E67" s="2"/>
      <c r="F67" s="2"/>
      <c r="G67" s="2"/>
      <c r="H67" s="2"/>
      <c r="I67" s="2"/>
      <c r="J67" s="2"/>
      <c r="K67" s="2"/>
      <c r="L67" s="2"/>
      <c r="M67" s="2"/>
      <c r="N67" s="2"/>
      <c r="O67" s="2"/>
    </row>
    <row r="68" spans="1:15">
      <c r="A68" s="2"/>
      <c r="B68" s="2"/>
      <c r="C68" s="2"/>
      <c r="D68" s="2"/>
      <c r="E68" s="2"/>
      <c r="F68" s="2"/>
      <c r="G68" s="2"/>
      <c r="H68" s="2"/>
      <c r="I68" s="2"/>
      <c r="J68" s="2"/>
      <c r="K68" s="2"/>
      <c r="L68" s="2"/>
      <c r="M68" s="2"/>
      <c r="N68" s="2"/>
      <c r="O68" s="2"/>
    </row>
    <row r="69" spans="1:15">
      <c r="A69" s="2"/>
      <c r="B69" s="2"/>
      <c r="C69" s="2"/>
      <c r="D69" s="2"/>
      <c r="E69" s="2"/>
      <c r="F69" s="2"/>
      <c r="G69" s="2"/>
      <c r="H69" s="2"/>
      <c r="I69" s="2"/>
      <c r="J69" s="2"/>
      <c r="K69" s="2"/>
      <c r="L69" s="2"/>
      <c r="M69" s="2"/>
      <c r="N69" s="2"/>
      <c r="O69" s="2"/>
    </row>
    <row r="70" spans="1:15">
      <c r="A70" s="2"/>
      <c r="B70" s="2"/>
      <c r="C70" s="2"/>
      <c r="D70" s="2"/>
      <c r="E70" s="2"/>
      <c r="F70" s="2"/>
      <c r="G70" s="2"/>
      <c r="H70" s="2"/>
      <c r="I70" s="2"/>
      <c r="J70" s="2"/>
      <c r="K70" s="2"/>
      <c r="L70" s="2"/>
      <c r="M70" s="2"/>
      <c r="N70" s="2"/>
      <c r="O70" s="2"/>
    </row>
    <row r="71" spans="1:15">
      <c r="A71" s="2"/>
      <c r="B71" s="2"/>
      <c r="C71" s="2"/>
      <c r="D71" s="2"/>
      <c r="E71" s="2"/>
      <c r="F71" s="2"/>
      <c r="G71" s="2"/>
      <c r="H71" s="2"/>
      <c r="I71" s="2"/>
      <c r="J71" s="2"/>
      <c r="K71" s="2"/>
      <c r="L71" s="2"/>
      <c r="M71" s="2"/>
      <c r="N71" s="2"/>
      <c r="O71" s="2"/>
    </row>
    <row r="72" spans="1:15">
      <c r="A72" s="2"/>
      <c r="B72" s="2"/>
      <c r="C72" s="2"/>
      <c r="D72" s="2"/>
      <c r="E72" s="2"/>
      <c r="F72" s="2"/>
      <c r="G72" s="2"/>
      <c r="H72" s="2"/>
      <c r="I72" s="2"/>
      <c r="J72" s="2"/>
      <c r="K72" s="2"/>
      <c r="L72" s="2"/>
      <c r="M72" s="2"/>
      <c r="N72" s="2"/>
      <c r="O72" s="2"/>
    </row>
    <row r="73" spans="1:15">
      <c r="A73" s="2"/>
      <c r="B73" s="2"/>
      <c r="C73" s="2"/>
      <c r="D73" s="2"/>
      <c r="E73" s="2"/>
      <c r="F73" s="2"/>
      <c r="G73" s="2"/>
      <c r="H73" s="2"/>
      <c r="I73" s="2"/>
      <c r="J73" s="2"/>
      <c r="K73" s="2"/>
      <c r="L73" s="2"/>
      <c r="M73" s="2"/>
      <c r="N73" s="2"/>
      <c r="O73" s="2"/>
    </row>
    <row r="74" spans="1:15">
      <c r="A74" s="2"/>
      <c r="B74" s="2"/>
      <c r="C74" s="2"/>
      <c r="D74" s="2"/>
      <c r="E74" s="2"/>
      <c r="F74" s="2"/>
      <c r="G74" s="2"/>
      <c r="H74" s="2"/>
      <c r="I74" s="2"/>
      <c r="J74" s="2"/>
      <c r="K74" s="2"/>
      <c r="L74" s="2"/>
      <c r="M74" s="2"/>
      <c r="N74" s="2"/>
      <c r="O74" s="2"/>
    </row>
    <row r="75" spans="1:15">
      <c r="A75" s="2"/>
      <c r="B75" s="2"/>
      <c r="C75" s="2"/>
      <c r="D75" s="2"/>
      <c r="E75" s="2"/>
      <c r="F75" s="2"/>
      <c r="G75" s="2"/>
      <c r="H75" s="2"/>
      <c r="I75" s="2"/>
      <c r="J75" s="2"/>
      <c r="K75" s="2"/>
      <c r="L75" s="2"/>
      <c r="M75" s="2"/>
      <c r="N75" s="2"/>
      <c r="O75" s="2"/>
    </row>
    <row r="76" spans="1:15">
      <c r="A76" s="2"/>
      <c r="B76" s="2"/>
      <c r="C76" s="2"/>
      <c r="D76" s="2"/>
      <c r="E76" s="2"/>
      <c r="F76" s="2"/>
      <c r="G76" s="2"/>
      <c r="H76" s="2"/>
      <c r="I76" s="2"/>
      <c r="J76" s="2"/>
      <c r="K76" s="2"/>
      <c r="L76" s="2"/>
      <c r="M76" s="2"/>
      <c r="N76" s="2"/>
      <c r="O76" s="2"/>
    </row>
    <row r="77" spans="1:15">
      <c r="A77" s="2"/>
      <c r="B77" s="2"/>
      <c r="C77" s="2"/>
      <c r="D77" s="2"/>
      <c r="E77" s="2"/>
      <c r="F77" s="2"/>
      <c r="G77" s="2"/>
      <c r="H77" s="2"/>
      <c r="I77" s="2"/>
      <c r="J77" s="2"/>
      <c r="K77" s="2"/>
      <c r="L77" s="2"/>
      <c r="M77" s="2"/>
      <c r="N77" s="2"/>
      <c r="O77" s="2"/>
    </row>
    <row r="78" spans="1:15">
      <c r="A78" s="2"/>
      <c r="B78" s="2"/>
      <c r="C78" s="2"/>
      <c r="D78" s="2"/>
      <c r="E78" s="2"/>
      <c r="F78" s="2"/>
      <c r="G78" s="2"/>
      <c r="H78" s="2"/>
      <c r="I78" s="2"/>
      <c r="J78" s="2"/>
      <c r="K78" s="2"/>
      <c r="L78" s="2"/>
      <c r="M78" s="2"/>
      <c r="N78" s="2"/>
      <c r="O78" s="2"/>
    </row>
    <row r="79" spans="1:15">
      <c r="A79" s="2"/>
      <c r="B79" s="2"/>
      <c r="C79" s="2"/>
      <c r="D79" s="2"/>
      <c r="E79" s="2"/>
      <c r="F79" s="2"/>
      <c r="G79" s="2"/>
      <c r="H79" s="2"/>
      <c r="I79" s="2"/>
      <c r="J79" s="2"/>
      <c r="K79" s="2"/>
      <c r="L79" s="2"/>
      <c r="M79" s="2"/>
      <c r="N79" s="2"/>
      <c r="O79" s="2"/>
    </row>
    <row r="80" spans="1:15">
      <c r="A80" s="2"/>
      <c r="B80" s="2"/>
      <c r="C80" s="2"/>
      <c r="D80" s="2"/>
      <c r="E80" s="2"/>
      <c r="F80" s="2"/>
      <c r="G80" s="2"/>
      <c r="H80" s="2"/>
      <c r="I80" s="2"/>
      <c r="J80" s="2"/>
      <c r="K80" s="2"/>
      <c r="L80" s="2"/>
      <c r="M80" s="2"/>
      <c r="N80" s="2"/>
      <c r="O80" s="2"/>
    </row>
    <row r="81" spans="1:15">
      <c r="A81" s="2"/>
      <c r="B81" s="2"/>
      <c r="C81" s="2"/>
      <c r="D81" s="2"/>
      <c r="E81" s="2"/>
      <c r="F81" s="2"/>
      <c r="G81" s="2"/>
      <c r="H81" s="2"/>
      <c r="I81" s="2"/>
      <c r="J81" s="2"/>
      <c r="K81" s="2"/>
      <c r="L81" s="2"/>
      <c r="M81" s="2"/>
      <c r="N81" s="2"/>
      <c r="O81" s="2"/>
    </row>
    <row r="82" spans="1:15">
      <c r="A82" s="2"/>
      <c r="B82" s="2"/>
      <c r="C82" s="2"/>
      <c r="D82" s="2"/>
      <c r="E82" s="2"/>
      <c r="F82" s="2"/>
      <c r="G82" s="2"/>
      <c r="H82" s="2"/>
      <c r="I82" s="2"/>
      <c r="J82" s="2"/>
      <c r="K82" s="2"/>
      <c r="L82" s="2"/>
      <c r="M82" s="2"/>
      <c r="N82" s="2"/>
      <c r="O82" s="2"/>
    </row>
    <row r="83" spans="1:15">
      <c r="A83" s="2"/>
      <c r="B83" s="2"/>
      <c r="C83" s="2"/>
      <c r="D83" s="2"/>
      <c r="E83" s="2"/>
      <c r="F83" s="2"/>
      <c r="G83" s="2"/>
      <c r="H83" s="2"/>
      <c r="I83" s="2"/>
      <c r="J83" s="2"/>
      <c r="K83" s="2"/>
      <c r="L83" s="2"/>
      <c r="M83" s="2"/>
      <c r="N83" s="2"/>
      <c r="O83" s="2"/>
    </row>
    <row r="84" spans="1:15">
      <c r="A84" s="2"/>
      <c r="B84" s="2"/>
      <c r="C84" s="2"/>
      <c r="D84" s="2"/>
      <c r="E84" s="2"/>
      <c r="F84" s="2"/>
      <c r="G84" s="2"/>
      <c r="H84" s="2"/>
      <c r="I84" s="2"/>
      <c r="J84" s="2"/>
      <c r="K84" s="2"/>
      <c r="L84" s="2"/>
      <c r="M84" s="2"/>
      <c r="N84" s="2"/>
      <c r="O84" s="2"/>
    </row>
    <row r="85" spans="1:15">
      <c r="A85" s="2"/>
      <c r="B85" s="2"/>
      <c r="C85" s="2"/>
      <c r="D85" s="2"/>
      <c r="E85" s="2"/>
      <c r="F85" s="2"/>
      <c r="G85" s="2"/>
      <c r="H85" s="2"/>
      <c r="I85" s="2"/>
      <c r="J85" s="2"/>
      <c r="K85" s="2"/>
      <c r="L85" s="2"/>
      <c r="M85" s="2"/>
      <c r="N85" s="2"/>
      <c r="O85" s="2"/>
    </row>
    <row r="86" spans="1:15">
      <c r="A86" s="2"/>
      <c r="B86" s="2"/>
      <c r="C86" s="2"/>
      <c r="D86" s="2"/>
      <c r="E86" s="2"/>
      <c r="F86" s="2"/>
      <c r="G86" s="2"/>
      <c r="H86" s="2"/>
      <c r="I86" s="2"/>
      <c r="J86" s="2"/>
      <c r="K86" s="2"/>
      <c r="L86" s="2"/>
      <c r="M86" s="2"/>
      <c r="N86" s="2"/>
      <c r="O86" s="2"/>
    </row>
    <row r="87" spans="1:15">
      <c r="A87" s="2"/>
      <c r="B87" s="2"/>
      <c r="C87" s="2"/>
      <c r="D87" s="2"/>
      <c r="E87" s="2"/>
      <c r="F87" s="2"/>
      <c r="G87" s="2"/>
      <c r="H87" s="2"/>
      <c r="I87" s="2"/>
      <c r="J87" s="2"/>
      <c r="K87" s="2"/>
      <c r="L87" s="2"/>
      <c r="M87" s="2"/>
      <c r="N87" s="2"/>
      <c r="O87" s="2"/>
    </row>
    <row r="88" spans="1:15">
      <c r="A88" s="2"/>
      <c r="B88" s="2"/>
      <c r="C88" s="2"/>
      <c r="D88" s="2"/>
      <c r="E88" s="2"/>
      <c r="F88" s="2"/>
      <c r="G88" s="2"/>
      <c r="H88" s="2"/>
      <c r="I88" s="2"/>
      <c r="J88" s="2"/>
      <c r="K88" s="2"/>
      <c r="L88" s="2"/>
      <c r="M88" s="2"/>
      <c r="N88" s="2"/>
      <c r="O88" s="2"/>
    </row>
    <row r="89" spans="1:15">
      <c r="A89" s="2"/>
      <c r="B89" s="2"/>
      <c r="C89" s="2"/>
      <c r="D89" s="2"/>
      <c r="E89" s="2"/>
      <c r="F89" s="2"/>
      <c r="G89" s="2"/>
      <c r="H89" s="2"/>
      <c r="I89" s="2"/>
      <c r="J89" s="2"/>
      <c r="K89" s="2"/>
      <c r="L89" s="2"/>
      <c r="M89" s="2"/>
      <c r="N89" s="2"/>
      <c r="O89" s="2"/>
    </row>
    <row r="90" spans="1:15">
      <c r="A90" s="2"/>
      <c r="B90" s="2"/>
      <c r="C90" s="2"/>
      <c r="D90" s="2"/>
      <c r="E90" s="2"/>
      <c r="F90" s="2"/>
      <c r="G90" s="2"/>
      <c r="H90" s="2"/>
      <c r="I90" s="2"/>
      <c r="J90" s="2"/>
      <c r="K90" s="2"/>
      <c r="L90" s="2"/>
      <c r="M90" s="2"/>
      <c r="N90" s="2"/>
      <c r="O90" s="2"/>
    </row>
    <row r="91" spans="1:15">
      <c r="A91" s="2"/>
      <c r="B91" s="2"/>
      <c r="C91" s="2"/>
      <c r="D91" s="2"/>
      <c r="E91" s="2"/>
      <c r="F91" s="2"/>
      <c r="G91" s="2"/>
      <c r="H91" s="2"/>
      <c r="I91" s="2"/>
      <c r="J91" s="2"/>
      <c r="K91" s="2"/>
      <c r="L91" s="2"/>
      <c r="M91" s="2"/>
      <c r="N91" s="2"/>
      <c r="O91" s="2"/>
    </row>
    <row r="92" spans="1:15">
      <c r="A92" s="2"/>
      <c r="B92" s="2"/>
      <c r="C92" s="2"/>
      <c r="D92" s="2"/>
      <c r="E92" s="2"/>
      <c r="F92" s="2"/>
      <c r="G92" s="2"/>
      <c r="H92" s="2"/>
      <c r="I92" s="2"/>
      <c r="J92" s="2"/>
      <c r="K92" s="2"/>
      <c r="L92" s="2"/>
      <c r="M92" s="2"/>
      <c r="N92" s="2"/>
      <c r="O92" s="2"/>
    </row>
    <row r="93" spans="1:15">
      <c r="A93" s="2"/>
      <c r="B93" s="2"/>
      <c r="C93" s="2"/>
      <c r="D93" s="2"/>
      <c r="E93" s="2"/>
      <c r="F93" s="2"/>
      <c r="G93" s="2"/>
      <c r="H93" s="2"/>
      <c r="I93" s="2"/>
      <c r="J93" s="2"/>
      <c r="K93" s="2"/>
      <c r="L93" s="2"/>
      <c r="M93" s="2"/>
      <c r="N93" s="2"/>
      <c r="O93" s="2"/>
    </row>
    <row r="94" spans="1:15">
      <c r="A94" s="2"/>
      <c r="B94" s="2"/>
      <c r="C94" s="2"/>
      <c r="D94" s="2"/>
      <c r="E94" s="2"/>
      <c r="F94" s="2"/>
      <c r="G94" s="2"/>
      <c r="H94" s="2"/>
      <c r="I94" s="2"/>
      <c r="J94" s="2"/>
      <c r="K94" s="2"/>
      <c r="L94" s="2"/>
      <c r="M94" s="2"/>
      <c r="N94" s="2"/>
      <c r="O94" s="2"/>
    </row>
    <row r="95" spans="1:15">
      <c r="A95" s="2"/>
      <c r="B95" s="2"/>
      <c r="C95" s="2"/>
      <c r="D95" s="2"/>
      <c r="E95" s="2"/>
      <c r="F95" s="2"/>
      <c r="G95" s="2"/>
      <c r="H95" s="2"/>
      <c r="I95" s="2"/>
      <c r="J95" s="2"/>
      <c r="K95" s="2"/>
      <c r="L95" s="2"/>
      <c r="M95" s="2"/>
      <c r="N95" s="2"/>
      <c r="O95" s="2"/>
    </row>
    <row r="96" spans="1:15">
      <c r="A96" s="2"/>
      <c r="B96" s="2"/>
      <c r="C96" s="2"/>
      <c r="D96" s="2"/>
      <c r="E96" s="2"/>
      <c r="F96" s="2"/>
      <c r="G96" s="2"/>
      <c r="H96" s="2"/>
      <c r="I96" s="2"/>
      <c r="J96" s="2"/>
      <c r="K96" s="2"/>
      <c r="L96" s="2"/>
      <c r="M96" s="2"/>
      <c r="N96" s="2"/>
      <c r="O96" s="2"/>
    </row>
    <row r="97" spans="1:15">
      <c r="A97" s="2"/>
      <c r="B97" s="2"/>
      <c r="C97" s="2"/>
      <c r="D97" s="2"/>
      <c r="E97" s="2"/>
      <c r="F97" s="2"/>
      <c r="G97" s="2"/>
      <c r="H97" s="2"/>
      <c r="I97" s="2"/>
      <c r="J97" s="2"/>
      <c r="K97" s="2"/>
      <c r="L97" s="2"/>
      <c r="M97" s="2"/>
      <c r="N97" s="2"/>
      <c r="O97" s="2"/>
    </row>
    <row r="98" spans="1:15">
      <c r="A98" s="2"/>
      <c r="B98" s="2"/>
      <c r="C98" s="2"/>
      <c r="D98" s="2"/>
      <c r="E98" s="2"/>
      <c r="F98" s="2"/>
      <c r="G98" s="2"/>
      <c r="H98" s="2"/>
      <c r="I98" s="2"/>
      <c r="J98" s="2"/>
      <c r="K98" s="2"/>
      <c r="L98" s="2"/>
      <c r="M98" s="2"/>
      <c r="N98" s="2"/>
      <c r="O98" s="2"/>
    </row>
    <row r="99" spans="1:15">
      <c r="A99" s="2"/>
      <c r="B99" s="2"/>
      <c r="C99" s="2"/>
      <c r="D99" s="2"/>
      <c r="E99" s="2"/>
      <c r="F99" s="2"/>
      <c r="G99" s="2"/>
      <c r="H99" s="2"/>
      <c r="I99" s="2"/>
      <c r="J99" s="2"/>
      <c r="K99" s="2"/>
      <c r="L99" s="2"/>
      <c r="M99" s="2"/>
      <c r="N99" s="2"/>
      <c r="O99" s="2"/>
    </row>
    <row r="100" spans="1:15">
      <c r="A100" s="2"/>
      <c r="B100" s="2"/>
      <c r="C100" s="2"/>
      <c r="D100" s="2"/>
      <c r="E100" s="2"/>
      <c r="F100" s="2"/>
      <c r="G100" s="2"/>
      <c r="H100" s="2"/>
      <c r="I100" s="2"/>
      <c r="J100" s="2"/>
      <c r="K100" s="2"/>
      <c r="L100" s="2"/>
      <c r="M100" s="2"/>
      <c r="N100" s="2"/>
      <c r="O100" s="2"/>
    </row>
    <row r="101" spans="1:15">
      <c r="A101" s="2"/>
      <c r="B101" s="2"/>
      <c r="C101" s="2"/>
      <c r="D101" s="2"/>
      <c r="E101" s="2"/>
      <c r="F101" s="2"/>
      <c r="G101" s="2"/>
      <c r="H101" s="2"/>
      <c r="I101" s="2"/>
      <c r="J101" s="2"/>
      <c r="K101" s="2"/>
      <c r="L101" s="2"/>
      <c r="M101" s="2"/>
      <c r="N101" s="2"/>
      <c r="O101" s="2"/>
    </row>
    <row r="102" spans="1:15">
      <c r="A102" s="2"/>
      <c r="B102" s="2"/>
      <c r="C102" s="2"/>
      <c r="D102" s="2"/>
      <c r="E102" s="2"/>
      <c r="F102" s="2"/>
      <c r="G102" s="2"/>
      <c r="H102" s="2"/>
      <c r="I102" s="2"/>
      <c r="J102" s="2"/>
      <c r="K102" s="2"/>
      <c r="L102" s="2"/>
      <c r="M102" s="2"/>
      <c r="N102" s="2"/>
      <c r="O102" s="2"/>
    </row>
  </sheetData>
  <mergeCells count="2">
    <mergeCell ref="A1:F1"/>
    <mergeCell ref="A2:F2"/>
  </mergeCells>
  <conditionalFormatting sqref="D5:D16">
    <cfRule type="expression" dxfId="1" priority="1">
      <formula>D5="FAIL"</formula>
    </cfRule>
    <cfRule type="expression" dxfId="0" priority="2">
      <formula>D5="PASS"</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25</vt:i4>
      </vt:variant>
    </vt:vector>
  </HeadingPairs>
  <TitlesOfParts>
    <vt:vector size="30" baseType="lpstr">
      <vt:lpstr>Inputs</vt:lpstr>
      <vt:lpstr>Marginal Analysis</vt:lpstr>
      <vt:lpstr>Farm Model</vt:lpstr>
      <vt:lpstr>Solver</vt:lpstr>
      <vt:lpstr>Audit</vt:lpstr>
      <vt:lpstr>ACRES_PER_BED</vt:lpstr>
      <vt:lpstr>CARROT_DIM_PCT</vt:lpstr>
      <vt:lpstr>CARROT_FERTILIZER_PER_BED</vt:lpstr>
      <vt:lpstr>CARROT_HRS_PER_BED</vt:lpstr>
      <vt:lpstr>CARROT_MAX_BEDS</vt:lpstr>
      <vt:lpstr>CARROT_PRICE</vt:lpstr>
      <vt:lpstr>FARM_ACREAGE</vt:lpstr>
      <vt:lpstr>FARMER_HRS_AVAILABLE</vt:lpstr>
      <vt:lpstr>FARMER_LABOR_RATE</vt:lpstr>
      <vt:lpstr>FIXED_COST</vt:lpstr>
      <vt:lpstr>MAX_TEMP_WORKERS</vt:lpstr>
      <vt:lpstr>MESCLUN_DIM_PCT</vt:lpstr>
      <vt:lpstr>MESCLUN_FERTILIZER_PER_BED</vt:lpstr>
      <vt:lpstr>MESCLUN_HRS_PER_BED</vt:lpstr>
      <vt:lpstr>MESCLUN_MAX_BEDS</vt:lpstr>
      <vt:lpstr>MESCLUN_PRICE</vt:lpstr>
      <vt:lpstr>SEASON_WEEKS</vt:lpstr>
      <vt:lpstr>TEMP_HRS_PER_WORKER</vt:lpstr>
      <vt:lpstr>TEMP_LABOR_RATE</vt:lpstr>
      <vt:lpstr>TOMATO_DIM_PCT</vt:lpstr>
      <vt:lpstr>TOMATO_FERTILIZER_PER_BED</vt:lpstr>
      <vt:lpstr>TOMATO_HRS_PER_BED</vt:lpstr>
      <vt:lpstr>TOMATO_MAX_BEDS</vt:lpstr>
      <vt:lpstr>TOMATO_PRICE</vt:lpstr>
      <vt:lpstr>TOTAL_BED_CAPACITY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Melanie Kim</cp:lastModifiedBy>
  <dcterms:created xsi:type="dcterms:W3CDTF">2026-09-08T16:31:57Z</dcterms:created>
  <dcterms:modified xsi:type="dcterms:W3CDTF">2026-10-03T03:09:59Z</dcterms:modified>
</cp:coreProperties>
</file>